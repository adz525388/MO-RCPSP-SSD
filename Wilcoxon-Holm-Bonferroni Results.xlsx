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ktuedutr-my.sharepoint.com/personal/abdullahturk_ktu_edu_tr/Documents/Project Scheduling/ÇOK AMAÇLI MSPSP/DERGİLER/5-Computers &amp; Operations Research/Revision 2/"/>
    </mc:Choice>
  </mc:AlternateContent>
  <xr:revisionPtr revIDLastSave="1565" documentId="11_AD4D0BC4A776854ACB15BC03AE95E272693EDF1C" xr6:coauthVersionLast="47" xr6:coauthVersionMax="47" xr10:uidLastSave="{A9F5421D-70A2-4CAB-978A-436C54A4F6FA}"/>
  <bookViews>
    <workbookView xWindow="28680" yWindow="-120" windowWidth="29040" windowHeight="15840" activeTab="5" xr2:uid="{00000000-000D-0000-FFFF-FFFF00000000}"/>
  </bookViews>
  <sheets>
    <sheet name="Avg. IGD" sheetId="4" r:id="rId1"/>
    <sheet name="Avg. MID" sheetId="6" r:id="rId2"/>
    <sheet name="Avg. SP" sheetId="2" r:id="rId3"/>
    <sheet name="Avg. SNS" sheetId="7" r:id="rId4"/>
    <sheet name="General" sheetId="5" r:id="rId5"/>
    <sheet name="Holm-Bonferroni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8" l="1"/>
  <c r="F42" i="8"/>
  <c r="K41" i="8"/>
  <c r="F41" i="8"/>
  <c r="K40" i="8"/>
  <c r="F40" i="8"/>
  <c r="K39" i="8"/>
  <c r="F39" i="8"/>
  <c r="K38" i="8"/>
  <c r="F38" i="8"/>
  <c r="K37" i="8"/>
  <c r="F37" i="8"/>
  <c r="K36" i="8"/>
  <c r="F36" i="8"/>
  <c r="K35" i="8"/>
  <c r="F35" i="8"/>
  <c r="K34" i="8"/>
  <c r="F34" i="8"/>
  <c r="K33" i="8"/>
  <c r="F33" i="8"/>
  <c r="K32" i="8"/>
  <c r="F32" i="8"/>
  <c r="K31" i="8"/>
  <c r="F31" i="8"/>
  <c r="K30" i="8"/>
  <c r="F30" i="8"/>
  <c r="K29" i="8"/>
  <c r="F29" i="8"/>
  <c r="K28" i="8"/>
  <c r="F28" i="8"/>
  <c r="K27" i="8"/>
  <c r="F27" i="8"/>
  <c r="K26" i="8"/>
  <c r="F26" i="8"/>
  <c r="K25" i="8"/>
  <c r="F25" i="8"/>
  <c r="K21" i="8"/>
  <c r="F21" i="8"/>
  <c r="K20" i="8"/>
  <c r="F20" i="8"/>
  <c r="K19" i="8"/>
  <c r="F19" i="8"/>
  <c r="K18" i="8"/>
  <c r="F18" i="8"/>
  <c r="K17" i="8"/>
  <c r="F17" i="8"/>
  <c r="K16" i="8"/>
  <c r="F16" i="8"/>
  <c r="K15" i="8"/>
  <c r="F15" i="8"/>
  <c r="K14" i="8"/>
  <c r="F14" i="8"/>
  <c r="K13" i="8"/>
  <c r="F13" i="8"/>
  <c r="K12" i="8"/>
  <c r="F12" i="8"/>
  <c r="K11" i="8"/>
  <c r="F11" i="8"/>
  <c r="K10" i="8"/>
  <c r="F10" i="8"/>
  <c r="K9" i="8"/>
  <c r="F9" i="8"/>
  <c r="K8" i="8"/>
  <c r="F8" i="8"/>
  <c r="K7" i="8"/>
  <c r="F7" i="8"/>
  <c r="K6" i="8"/>
  <c r="F6" i="8"/>
  <c r="K5" i="8"/>
  <c r="F5" i="8"/>
  <c r="K4" i="8"/>
  <c r="F4" i="8"/>
  <c r="AK30" i="7"/>
  <c r="AJ30" i="7"/>
  <c r="AI30" i="7"/>
  <c r="AH30" i="7"/>
  <c r="AG30" i="7"/>
  <c r="AF30" i="7"/>
  <c r="AK29" i="7"/>
  <c r="AJ29" i="7"/>
  <c r="AI29" i="7"/>
  <c r="AH29" i="7"/>
  <c r="AG29" i="7"/>
  <c r="AF29" i="7"/>
  <c r="AK28" i="7"/>
  <c r="AJ28" i="7"/>
  <c r="AI28" i="7"/>
  <c r="AH28" i="7"/>
  <c r="AG28" i="7"/>
  <c r="AF28" i="7"/>
  <c r="AK27" i="7"/>
  <c r="AJ27" i="7"/>
  <c r="AI27" i="7"/>
  <c r="AH27" i="7"/>
  <c r="AG27" i="7"/>
  <c r="AF27" i="7"/>
  <c r="AK26" i="7"/>
  <c r="AJ26" i="7"/>
  <c r="AI26" i="7"/>
  <c r="AH26" i="7"/>
  <c r="AG26" i="7"/>
  <c r="AF26" i="7"/>
  <c r="AK25" i="7"/>
  <c r="AJ25" i="7"/>
  <c r="AI25" i="7"/>
  <c r="AH25" i="7"/>
  <c r="AG25" i="7"/>
  <c r="AF25" i="7"/>
  <c r="AK24" i="7"/>
  <c r="AJ24" i="7"/>
  <c r="AI24" i="7"/>
  <c r="AH24" i="7"/>
  <c r="AG24" i="7"/>
  <c r="AF24" i="7"/>
  <c r="AK23" i="7"/>
  <c r="AJ23" i="7"/>
  <c r="AI23" i="7"/>
  <c r="AH23" i="7"/>
  <c r="AG23" i="7"/>
  <c r="AF23" i="7"/>
  <c r="AK22" i="7"/>
  <c r="AJ22" i="7"/>
  <c r="AI22" i="7"/>
  <c r="AH22" i="7"/>
  <c r="AG22" i="7"/>
  <c r="AF22" i="7"/>
  <c r="AK21" i="7"/>
  <c r="AJ21" i="7"/>
  <c r="AI21" i="7"/>
  <c r="AH21" i="7"/>
  <c r="AG21" i="7"/>
  <c r="AF21" i="7"/>
  <c r="AK20" i="7"/>
  <c r="AJ20" i="7"/>
  <c r="AI20" i="7"/>
  <c r="AH20" i="7"/>
  <c r="AG20" i="7"/>
  <c r="AF20" i="7"/>
  <c r="AK19" i="7"/>
  <c r="AJ19" i="7"/>
  <c r="AI19" i="7"/>
  <c r="AH19" i="7"/>
  <c r="AG19" i="7"/>
  <c r="AF19" i="7"/>
  <c r="AK18" i="7"/>
  <c r="AJ18" i="7"/>
  <c r="AI18" i="7"/>
  <c r="AH18" i="7"/>
  <c r="AG18" i="7"/>
  <c r="AF18" i="7"/>
  <c r="AK17" i="7"/>
  <c r="AJ17" i="7"/>
  <c r="AI17" i="7"/>
  <c r="AH17" i="7"/>
  <c r="AG17" i="7"/>
  <c r="AF17" i="7"/>
  <c r="AK16" i="7"/>
  <c r="AJ16" i="7"/>
  <c r="AI16" i="7"/>
  <c r="AH16" i="7"/>
  <c r="AG16" i="7"/>
  <c r="AF16" i="7"/>
  <c r="AK15" i="7"/>
  <c r="AJ15" i="7"/>
  <c r="AI15" i="7"/>
  <c r="AH15" i="7"/>
  <c r="AG15" i="7"/>
  <c r="AF15" i="7"/>
  <c r="AK14" i="7"/>
  <c r="AJ14" i="7"/>
  <c r="AI14" i="7"/>
  <c r="AH14" i="7"/>
  <c r="AG14" i="7"/>
  <c r="AF14" i="7"/>
  <c r="AK13" i="7"/>
  <c r="AJ13" i="7"/>
  <c r="AI13" i="7"/>
  <c r="AH13" i="7"/>
  <c r="AG13" i="7"/>
  <c r="AF13" i="7"/>
  <c r="AK12" i="7"/>
  <c r="AJ12" i="7"/>
  <c r="AI12" i="7"/>
  <c r="AH12" i="7"/>
  <c r="AG12" i="7"/>
  <c r="AF12" i="7"/>
  <c r="AK11" i="7"/>
  <c r="AJ11" i="7"/>
  <c r="AI11" i="7"/>
  <c r="AH11" i="7"/>
  <c r="AG11" i="7"/>
  <c r="AF11" i="7"/>
  <c r="AK10" i="7"/>
  <c r="AJ10" i="7"/>
  <c r="AI10" i="7"/>
  <c r="AH10" i="7"/>
  <c r="AG10" i="7"/>
  <c r="AF10" i="7"/>
  <c r="AK9" i="7"/>
  <c r="AJ9" i="7"/>
  <c r="AI9" i="7"/>
  <c r="AH9" i="7"/>
  <c r="AG9" i="7"/>
  <c r="AF9" i="7"/>
  <c r="AK8" i="7"/>
  <c r="AJ8" i="7"/>
  <c r="AI8" i="7"/>
  <c r="AH8" i="7"/>
  <c r="AG8" i="7"/>
  <c r="AF8" i="7"/>
  <c r="AK7" i="7"/>
  <c r="AJ7" i="7"/>
  <c r="AI7" i="7"/>
  <c r="AH7" i="7"/>
  <c r="AG7" i="7"/>
  <c r="AF7" i="7"/>
  <c r="AK6" i="7"/>
  <c r="AJ6" i="7"/>
  <c r="AI6" i="7"/>
  <c r="AH6" i="7"/>
  <c r="AG6" i="7"/>
  <c r="AF6" i="7"/>
  <c r="AK5" i="7"/>
  <c r="AJ5" i="7"/>
  <c r="AI5" i="7"/>
  <c r="AH5" i="7"/>
  <c r="AG5" i="7"/>
  <c r="AF5" i="7"/>
  <c r="AK4" i="7"/>
  <c r="AJ4" i="7"/>
  <c r="AI4" i="7"/>
  <c r="AH4" i="7"/>
  <c r="AG4" i="7"/>
  <c r="AF4" i="7"/>
  <c r="AD30" i="7"/>
  <c r="AC30" i="7"/>
  <c r="AB30" i="7"/>
  <c r="AA30" i="7"/>
  <c r="Z30" i="7"/>
  <c r="Y30" i="7"/>
  <c r="AD29" i="7"/>
  <c r="AC29" i="7"/>
  <c r="AB29" i="7"/>
  <c r="AA29" i="7"/>
  <c r="Z29" i="7"/>
  <c r="Y29" i="7"/>
  <c r="AD28" i="7"/>
  <c r="AC28" i="7"/>
  <c r="AB28" i="7"/>
  <c r="AA28" i="7"/>
  <c r="Z28" i="7"/>
  <c r="Y28" i="7"/>
  <c r="AD27" i="7"/>
  <c r="AC27" i="7"/>
  <c r="AB27" i="7"/>
  <c r="AA27" i="7"/>
  <c r="Z27" i="7"/>
  <c r="Y27" i="7"/>
  <c r="AD26" i="7"/>
  <c r="AC26" i="7"/>
  <c r="AB26" i="7"/>
  <c r="AA26" i="7"/>
  <c r="Z26" i="7"/>
  <c r="Y26" i="7"/>
  <c r="AD25" i="7"/>
  <c r="AC25" i="7"/>
  <c r="AB25" i="7"/>
  <c r="AA25" i="7"/>
  <c r="Z25" i="7"/>
  <c r="Y25" i="7"/>
  <c r="AD24" i="7"/>
  <c r="AC24" i="7"/>
  <c r="AB24" i="7"/>
  <c r="AA24" i="7"/>
  <c r="Z24" i="7"/>
  <c r="Y24" i="7"/>
  <c r="AD23" i="7"/>
  <c r="AC23" i="7"/>
  <c r="AB23" i="7"/>
  <c r="AA23" i="7"/>
  <c r="Z23" i="7"/>
  <c r="Y23" i="7"/>
  <c r="AD22" i="7"/>
  <c r="AC22" i="7"/>
  <c r="AB22" i="7"/>
  <c r="AA22" i="7"/>
  <c r="Z22" i="7"/>
  <c r="Y22" i="7"/>
  <c r="AD21" i="7"/>
  <c r="AC21" i="7"/>
  <c r="AB21" i="7"/>
  <c r="AA21" i="7"/>
  <c r="Z21" i="7"/>
  <c r="Y21" i="7"/>
  <c r="AD20" i="7"/>
  <c r="AC20" i="7"/>
  <c r="AB20" i="7"/>
  <c r="AA20" i="7"/>
  <c r="Z20" i="7"/>
  <c r="Y20" i="7"/>
  <c r="AD19" i="7"/>
  <c r="AC19" i="7"/>
  <c r="AB19" i="7"/>
  <c r="AA19" i="7"/>
  <c r="Z19" i="7"/>
  <c r="Y19" i="7"/>
  <c r="AD18" i="7"/>
  <c r="AC18" i="7"/>
  <c r="AB18" i="7"/>
  <c r="AA18" i="7"/>
  <c r="Z18" i="7"/>
  <c r="Y18" i="7"/>
  <c r="AD17" i="7"/>
  <c r="AC17" i="7"/>
  <c r="AB17" i="7"/>
  <c r="AA17" i="7"/>
  <c r="Z17" i="7"/>
  <c r="Y17" i="7"/>
  <c r="AD16" i="7"/>
  <c r="AC16" i="7"/>
  <c r="AB16" i="7"/>
  <c r="AA16" i="7"/>
  <c r="Z16" i="7"/>
  <c r="Y16" i="7"/>
  <c r="AD15" i="7"/>
  <c r="AC15" i="7"/>
  <c r="AB15" i="7"/>
  <c r="AA15" i="7"/>
  <c r="Z15" i="7"/>
  <c r="Y15" i="7"/>
  <c r="AD14" i="7"/>
  <c r="AC14" i="7"/>
  <c r="AB14" i="7"/>
  <c r="AA14" i="7"/>
  <c r="Z14" i="7"/>
  <c r="Y14" i="7"/>
  <c r="AD13" i="7"/>
  <c r="AC13" i="7"/>
  <c r="AB13" i="7"/>
  <c r="AA13" i="7"/>
  <c r="Z13" i="7"/>
  <c r="Y13" i="7"/>
  <c r="AD12" i="7"/>
  <c r="AC12" i="7"/>
  <c r="AB12" i="7"/>
  <c r="AA12" i="7"/>
  <c r="Z12" i="7"/>
  <c r="Y12" i="7"/>
  <c r="AD11" i="7"/>
  <c r="AC11" i="7"/>
  <c r="AB11" i="7"/>
  <c r="AA11" i="7"/>
  <c r="Z11" i="7"/>
  <c r="Y11" i="7"/>
  <c r="AD10" i="7"/>
  <c r="AC10" i="7"/>
  <c r="AB10" i="7"/>
  <c r="AA10" i="7"/>
  <c r="Z10" i="7"/>
  <c r="Y10" i="7"/>
  <c r="AD9" i="7"/>
  <c r="AC9" i="7"/>
  <c r="AB9" i="7"/>
  <c r="AA9" i="7"/>
  <c r="Z9" i="7"/>
  <c r="Y9" i="7"/>
  <c r="AD8" i="7"/>
  <c r="AC8" i="7"/>
  <c r="AB8" i="7"/>
  <c r="AA8" i="7"/>
  <c r="Z8" i="7"/>
  <c r="Y8" i="7"/>
  <c r="AD7" i="7"/>
  <c r="AC7" i="7"/>
  <c r="AB7" i="7"/>
  <c r="AA7" i="7"/>
  <c r="Z7" i="7"/>
  <c r="Y7" i="7"/>
  <c r="AD6" i="7"/>
  <c r="AC6" i="7"/>
  <c r="AB6" i="7"/>
  <c r="AA6" i="7"/>
  <c r="Z6" i="7"/>
  <c r="Y6" i="7"/>
  <c r="AD5" i="7"/>
  <c r="AC5" i="7"/>
  <c r="AB5" i="7"/>
  <c r="AA5" i="7"/>
  <c r="Z5" i="7"/>
  <c r="Y5" i="7"/>
  <c r="AD4" i="7"/>
  <c r="AC4" i="7"/>
  <c r="AB4" i="7"/>
  <c r="AA4" i="7"/>
  <c r="Z4" i="7"/>
  <c r="Y4" i="7"/>
  <c r="W30" i="7"/>
  <c r="V30" i="7"/>
  <c r="U30" i="7"/>
  <c r="T30" i="7"/>
  <c r="S30" i="7"/>
  <c r="R30" i="7"/>
  <c r="W29" i="7"/>
  <c r="V29" i="7"/>
  <c r="U29" i="7"/>
  <c r="T29" i="7"/>
  <c r="S29" i="7"/>
  <c r="R29" i="7"/>
  <c r="W28" i="7"/>
  <c r="V28" i="7"/>
  <c r="U28" i="7"/>
  <c r="T28" i="7"/>
  <c r="S28" i="7"/>
  <c r="R28" i="7"/>
  <c r="W27" i="7"/>
  <c r="V27" i="7"/>
  <c r="U27" i="7"/>
  <c r="T27" i="7"/>
  <c r="S27" i="7"/>
  <c r="R27" i="7"/>
  <c r="W26" i="7"/>
  <c r="V26" i="7"/>
  <c r="U26" i="7"/>
  <c r="T26" i="7"/>
  <c r="S26" i="7"/>
  <c r="R26" i="7"/>
  <c r="W25" i="7"/>
  <c r="V25" i="7"/>
  <c r="U25" i="7"/>
  <c r="T25" i="7"/>
  <c r="S25" i="7"/>
  <c r="R25" i="7"/>
  <c r="W24" i="7"/>
  <c r="V24" i="7"/>
  <c r="U24" i="7"/>
  <c r="T24" i="7"/>
  <c r="S24" i="7"/>
  <c r="R24" i="7"/>
  <c r="W23" i="7"/>
  <c r="V23" i="7"/>
  <c r="U23" i="7"/>
  <c r="T23" i="7"/>
  <c r="S23" i="7"/>
  <c r="R23" i="7"/>
  <c r="W22" i="7"/>
  <c r="V22" i="7"/>
  <c r="U22" i="7"/>
  <c r="T22" i="7"/>
  <c r="S22" i="7"/>
  <c r="R22" i="7"/>
  <c r="W21" i="7"/>
  <c r="V21" i="7"/>
  <c r="U21" i="7"/>
  <c r="T21" i="7"/>
  <c r="S21" i="7"/>
  <c r="R21" i="7"/>
  <c r="W20" i="7"/>
  <c r="V20" i="7"/>
  <c r="U20" i="7"/>
  <c r="T20" i="7"/>
  <c r="S20" i="7"/>
  <c r="R20" i="7"/>
  <c r="W19" i="7"/>
  <c r="V19" i="7"/>
  <c r="U19" i="7"/>
  <c r="T19" i="7"/>
  <c r="S19" i="7"/>
  <c r="R19" i="7"/>
  <c r="W18" i="7"/>
  <c r="V18" i="7"/>
  <c r="U18" i="7"/>
  <c r="T18" i="7"/>
  <c r="S18" i="7"/>
  <c r="R18" i="7"/>
  <c r="W17" i="7"/>
  <c r="V17" i="7"/>
  <c r="U17" i="7"/>
  <c r="T17" i="7"/>
  <c r="S17" i="7"/>
  <c r="R17" i="7"/>
  <c r="W16" i="7"/>
  <c r="V16" i="7"/>
  <c r="U16" i="7"/>
  <c r="T16" i="7"/>
  <c r="S16" i="7"/>
  <c r="R16" i="7"/>
  <c r="W15" i="7"/>
  <c r="V15" i="7"/>
  <c r="U15" i="7"/>
  <c r="T15" i="7"/>
  <c r="S15" i="7"/>
  <c r="R15" i="7"/>
  <c r="W14" i="7"/>
  <c r="V14" i="7"/>
  <c r="U14" i="7"/>
  <c r="T14" i="7"/>
  <c r="S14" i="7"/>
  <c r="R14" i="7"/>
  <c r="W13" i="7"/>
  <c r="V13" i="7"/>
  <c r="U13" i="7"/>
  <c r="T13" i="7"/>
  <c r="S13" i="7"/>
  <c r="R13" i="7"/>
  <c r="W12" i="7"/>
  <c r="V12" i="7"/>
  <c r="U12" i="7"/>
  <c r="T12" i="7"/>
  <c r="S12" i="7"/>
  <c r="R12" i="7"/>
  <c r="W11" i="7"/>
  <c r="V11" i="7"/>
  <c r="U11" i="7"/>
  <c r="T11" i="7"/>
  <c r="S11" i="7"/>
  <c r="R11" i="7"/>
  <c r="W10" i="7"/>
  <c r="V10" i="7"/>
  <c r="U10" i="7"/>
  <c r="T10" i="7"/>
  <c r="S10" i="7"/>
  <c r="R10" i="7"/>
  <c r="W9" i="7"/>
  <c r="V9" i="7"/>
  <c r="U9" i="7"/>
  <c r="T9" i="7"/>
  <c r="S9" i="7"/>
  <c r="R9" i="7"/>
  <c r="W8" i="7"/>
  <c r="V8" i="7"/>
  <c r="U8" i="7"/>
  <c r="T8" i="7"/>
  <c r="S8" i="7"/>
  <c r="R8" i="7"/>
  <c r="W7" i="7"/>
  <c r="V7" i="7"/>
  <c r="U7" i="7"/>
  <c r="T7" i="7"/>
  <c r="S7" i="7"/>
  <c r="R7" i="7"/>
  <c r="W6" i="7"/>
  <c r="V6" i="7"/>
  <c r="U6" i="7"/>
  <c r="T6" i="7"/>
  <c r="S6" i="7"/>
  <c r="R6" i="7"/>
  <c r="W5" i="7"/>
  <c r="V5" i="7"/>
  <c r="U5" i="7"/>
  <c r="T5" i="7"/>
  <c r="S5" i="7"/>
  <c r="R5" i="7"/>
  <c r="W4" i="7"/>
  <c r="V4" i="7"/>
  <c r="U4" i="7"/>
  <c r="T4" i="7"/>
  <c r="S4" i="7"/>
  <c r="R4" i="7"/>
  <c r="P31" i="7"/>
  <c r="O31" i="7"/>
  <c r="N31" i="7"/>
  <c r="M31" i="7"/>
  <c r="L31" i="7"/>
  <c r="K31" i="7"/>
  <c r="J31" i="7"/>
  <c r="I31" i="7"/>
  <c r="H31" i="7"/>
  <c r="G31" i="7"/>
  <c r="F31" i="7"/>
  <c r="E31" i="7"/>
  <c r="P31" i="6"/>
  <c r="O31" i="6"/>
  <c r="N31" i="6"/>
  <c r="M31" i="6"/>
  <c r="L31" i="6"/>
  <c r="K31" i="6"/>
  <c r="J31" i="6"/>
  <c r="I31" i="6"/>
  <c r="H31" i="6"/>
  <c r="G31" i="6"/>
  <c r="F31" i="6"/>
  <c r="E31" i="6"/>
  <c r="AK30" i="6"/>
  <c r="AJ30" i="6"/>
  <c r="AI30" i="6"/>
  <c r="AH30" i="6"/>
  <c r="AG30" i="6"/>
  <c r="AF30" i="6"/>
  <c r="AD30" i="6"/>
  <c r="AC30" i="6"/>
  <c r="AB30" i="6"/>
  <c r="AA30" i="6"/>
  <c r="Z30" i="6"/>
  <c r="Y30" i="6"/>
  <c r="W30" i="6"/>
  <c r="V30" i="6"/>
  <c r="U30" i="6"/>
  <c r="T30" i="6"/>
  <c r="S30" i="6"/>
  <c r="R30" i="6"/>
  <c r="AK29" i="6"/>
  <c r="AJ29" i="6"/>
  <c r="AI29" i="6"/>
  <c r="AH29" i="6"/>
  <c r="AG29" i="6"/>
  <c r="AF29" i="6"/>
  <c r="AD29" i="6"/>
  <c r="AC29" i="6"/>
  <c r="AB29" i="6"/>
  <c r="AA29" i="6"/>
  <c r="Z29" i="6"/>
  <c r="Y29" i="6"/>
  <c r="W29" i="6"/>
  <c r="V29" i="6"/>
  <c r="U29" i="6"/>
  <c r="T29" i="6"/>
  <c r="S29" i="6"/>
  <c r="R29" i="6"/>
  <c r="AK28" i="6"/>
  <c r="AJ28" i="6"/>
  <c r="AI28" i="6"/>
  <c r="AH28" i="6"/>
  <c r="AG28" i="6"/>
  <c r="AF28" i="6"/>
  <c r="AD28" i="6"/>
  <c r="AC28" i="6"/>
  <c r="AB28" i="6"/>
  <c r="AA28" i="6"/>
  <c r="Z28" i="6"/>
  <c r="Y28" i="6"/>
  <c r="W28" i="6"/>
  <c r="V28" i="6"/>
  <c r="U28" i="6"/>
  <c r="T28" i="6"/>
  <c r="S28" i="6"/>
  <c r="R28" i="6"/>
  <c r="AK27" i="6"/>
  <c r="AJ27" i="6"/>
  <c r="AI27" i="6"/>
  <c r="AH27" i="6"/>
  <c r="AG27" i="6"/>
  <c r="AF27" i="6"/>
  <c r="AD27" i="6"/>
  <c r="AC27" i="6"/>
  <c r="AB27" i="6"/>
  <c r="AA27" i="6"/>
  <c r="Z27" i="6"/>
  <c r="Y27" i="6"/>
  <c r="W27" i="6"/>
  <c r="V27" i="6"/>
  <c r="U27" i="6"/>
  <c r="T27" i="6"/>
  <c r="S27" i="6"/>
  <c r="R27" i="6"/>
  <c r="AK26" i="6"/>
  <c r="AJ26" i="6"/>
  <c r="AI26" i="6"/>
  <c r="AH26" i="6"/>
  <c r="AG26" i="6"/>
  <c r="AF26" i="6"/>
  <c r="AD26" i="6"/>
  <c r="AC26" i="6"/>
  <c r="AB26" i="6"/>
  <c r="AA26" i="6"/>
  <c r="Z26" i="6"/>
  <c r="Y26" i="6"/>
  <c r="W26" i="6"/>
  <c r="V26" i="6"/>
  <c r="U26" i="6"/>
  <c r="T26" i="6"/>
  <c r="S26" i="6"/>
  <c r="R26" i="6"/>
  <c r="AK25" i="6"/>
  <c r="AJ25" i="6"/>
  <c r="AI25" i="6"/>
  <c r="AH25" i="6"/>
  <c r="AG25" i="6"/>
  <c r="AF25" i="6"/>
  <c r="AD25" i="6"/>
  <c r="AC25" i="6"/>
  <c r="AB25" i="6"/>
  <c r="AA25" i="6"/>
  <c r="Z25" i="6"/>
  <c r="Y25" i="6"/>
  <c r="W25" i="6"/>
  <c r="V25" i="6"/>
  <c r="U25" i="6"/>
  <c r="T25" i="6"/>
  <c r="S25" i="6"/>
  <c r="R25" i="6"/>
  <c r="AK24" i="6"/>
  <c r="AJ24" i="6"/>
  <c r="AI24" i="6"/>
  <c r="AH24" i="6"/>
  <c r="AG24" i="6"/>
  <c r="AF24" i="6"/>
  <c r="AD24" i="6"/>
  <c r="AC24" i="6"/>
  <c r="AB24" i="6"/>
  <c r="AA24" i="6"/>
  <c r="Z24" i="6"/>
  <c r="Y24" i="6"/>
  <c r="W24" i="6"/>
  <c r="V24" i="6"/>
  <c r="U24" i="6"/>
  <c r="T24" i="6"/>
  <c r="S24" i="6"/>
  <c r="R24" i="6"/>
  <c r="AK23" i="6"/>
  <c r="AJ23" i="6"/>
  <c r="AI23" i="6"/>
  <c r="AH23" i="6"/>
  <c r="AG23" i="6"/>
  <c r="AF23" i="6"/>
  <c r="AD23" i="6"/>
  <c r="AC23" i="6"/>
  <c r="AB23" i="6"/>
  <c r="AA23" i="6"/>
  <c r="Z23" i="6"/>
  <c r="Y23" i="6"/>
  <c r="W23" i="6"/>
  <c r="V23" i="6"/>
  <c r="U23" i="6"/>
  <c r="T23" i="6"/>
  <c r="S23" i="6"/>
  <c r="R23" i="6"/>
  <c r="AK22" i="6"/>
  <c r="AJ22" i="6"/>
  <c r="AI22" i="6"/>
  <c r="AH22" i="6"/>
  <c r="AG22" i="6"/>
  <c r="AF22" i="6"/>
  <c r="AD22" i="6"/>
  <c r="AC22" i="6"/>
  <c r="AB22" i="6"/>
  <c r="AA22" i="6"/>
  <c r="Z22" i="6"/>
  <c r="Y22" i="6"/>
  <c r="W22" i="6"/>
  <c r="V22" i="6"/>
  <c r="U22" i="6"/>
  <c r="T22" i="6"/>
  <c r="S22" i="6"/>
  <c r="R22" i="6"/>
  <c r="AK21" i="6"/>
  <c r="AJ21" i="6"/>
  <c r="AI21" i="6"/>
  <c r="AH21" i="6"/>
  <c r="AG21" i="6"/>
  <c r="AF21" i="6"/>
  <c r="AD21" i="6"/>
  <c r="AC21" i="6"/>
  <c r="AB21" i="6"/>
  <c r="AA21" i="6"/>
  <c r="Z21" i="6"/>
  <c r="Y21" i="6"/>
  <c r="W21" i="6"/>
  <c r="V21" i="6"/>
  <c r="U21" i="6"/>
  <c r="T21" i="6"/>
  <c r="S21" i="6"/>
  <c r="R21" i="6"/>
  <c r="AK20" i="6"/>
  <c r="AJ20" i="6"/>
  <c r="AI20" i="6"/>
  <c r="AH20" i="6"/>
  <c r="AG20" i="6"/>
  <c r="AF20" i="6"/>
  <c r="AD20" i="6"/>
  <c r="AC20" i="6"/>
  <c r="AB20" i="6"/>
  <c r="AA20" i="6"/>
  <c r="Z20" i="6"/>
  <c r="Y20" i="6"/>
  <c r="W20" i="6"/>
  <c r="V20" i="6"/>
  <c r="U20" i="6"/>
  <c r="T20" i="6"/>
  <c r="S20" i="6"/>
  <c r="R20" i="6"/>
  <c r="AK19" i="6"/>
  <c r="AJ19" i="6"/>
  <c r="AI19" i="6"/>
  <c r="AH19" i="6"/>
  <c r="AG19" i="6"/>
  <c r="AF19" i="6"/>
  <c r="AD19" i="6"/>
  <c r="AC19" i="6"/>
  <c r="AB19" i="6"/>
  <c r="AA19" i="6"/>
  <c r="Z19" i="6"/>
  <c r="Y19" i="6"/>
  <c r="W19" i="6"/>
  <c r="V19" i="6"/>
  <c r="U19" i="6"/>
  <c r="T19" i="6"/>
  <c r="S19" i="6"/>
  <c r="R19" i="6"/>
  <c r="AK18" i="6"/>
  <c r="AJ18" i="6"/>
  <c r="AI18" i="6"/>
  <c r="AH18" i="6"/>
  <c r="AG18" i="6"/>
  <c r="AF18" i="6"/>
  <c r="AD18" i="6"/>
  <c r="AC18" i="6"/>
  <c r="AB18" i="6"/>
  <c r="AA18" i="6"/>
  <c r="Z18" i="6"/>
  <c r="Y18" i="6"/>
  <c r="W18" i="6"/>
  <c r="V18" i="6"/>
  <c r="U18" i="6"/>
  <c r="T18" i="6"/>
  <c r="S18" i="6"/>
  <c r="R18" i="6"/>
  <c r="AK17" i="6"/>
  <c r="AJ17" i="6"/>
  <c r="AI17" i="6"/>
  <c r="AH17" i="6"/>
  <c r="AG17" i="6"/>
  <c r="AF17" i="6"/>
  <c r="AD17" i="6"/>
  <c r="AC17" i="6"/>
  <c r="AB17" i="6"/>
  <c r="AA17" i="6"/>
  <c r="Z17" i="6"/>
  <c r="Y17" i="6"/>
  <c r="W17" i="6"/>
  <c r="V17" i="6"/>
  <c r="U17" i="6"/>
  <c r="T17" i="6"/>
  <c r="S17" i="6"/>
  <c r="R17" i="6"/>
  <c r="AK16" i="6"/>
  <c r="AJ16" i="6"/>
  <c r="AI16" i="6"/>
  <c r="AH16" i="6"/>
  <c r="AG16" i="6"/>
  <c r="AF16" i="6"/>
  <c r="AD16" i="6"/>
  <c r="AC16" i="6"/>
  <c r="AB16" i="6"/>
  <c r="AA16" i="6"/>
  <c r="Z16" i="6"/>
  <c r="Y16" i="6"/>
  <c r="W16" i="6"/>
  <c r="V16" i="6"/>
  <c r="U16" i="6"/>
  <c r="T16" i="6"/>
  <c r="S16" i="6"/>
  <c r="R16" i="6"/>
  <c r="AK15" i="6"/>
  <c r="AJ15" i="6"/>
  <c r="AI15" i="6"/>
  <c r="AH15" i="6"/>
  <c r="AG15" i="6"/>
  <c r="AF15" i="6"/>
  <c r="AD15" i="6"/>
  <c r="AC15" i="6"/>
  <c r="AB15" i="6"/>
  <c r="AA15" i="6"/>
  <c r="Z15" i="6"/>
  <c r="Y15" i="6"/>
  <c r="W15" i="6"/>
  <c r="V15" i="6"/>
  <c r="U15" i="6"/>
  <c r="T15" i="6"/>
  <c r="S15" i="6"/>
  <c r="R15" i="6"/>
  <c r="AK14" i="6"/>
  <c r="AJ14" i="6"/>
  <c r="AI14" i="6"/>
  <c r="AH14" i="6"/>
  <c r="AG14" i="6"/>
  <c r="AF14" i="6"/>
  <c r="AD14" i="6"/>
  <c r="AC14" i="6"/>
  <c r="AB14" i="6"/>
  <c r="AA14" i="6"/>
  <c r="Z14" i="6"/>
  <c r="Y14" i="6"/>
  <c r="W14" i="6"/>
  <c r="V14" i="6"/>
  <c r="U14" i="6"/>
  <c r="T14" i="6"/>
  <c r="S14" i="6"/>
  <c r="R14" i="6"/>
  <c r="AK13" i="6"/>
  <c r="AJ13" i="6"/>
  <c r="AI13" i="6"/>
  <c r="AH13" i="6"/>
  <c r="AG13" i="6"/>
  <c r="AF13" i="6"/>
  <c r="AD13" i="6"/>
  <c r="AC13" i="6"/>
  <c r="AB13" i="6"/>
  <c r="AA13" i="6"/>
  <c r="Z13" i="6"/>
  <c r="Y13" i="6"/>
  <c r="W13" i="6"/>
  <c r="V13" i="6"/>
  <c r="U13" i="6"/>
  <c r="T13" i="6"/>
  <c r="S13" i="6"/>
  <c r="R13" i="6"/>
  <c r="AK12" i="6"/>
  <c r="AJ12" i="6"/>
  <c r="AI12" i="6"/>
  <c r="AH12" i="6"/>
  <c r="AG12" i="6"/>
  <c r="AF12" i="6"/>
  <c r="AD12" i="6"/>
  <c r="AC12" i="6"/>
  <c r="AB12" i="6"/>
  <c r="AA12" i="6"/>
  <c r="Z12" i="6"/>
  <c r="Y12" i="6"/>
  <c r="W12" i="6"/>
  <c r="V12" i="6"/>
  <c r="U12" i="6"/>
  <c r="T12" i="6"/>
  <c r="S12" i="6"/>
  <c r="R12" i="6"/>
  <c r="AK11" i="6"/>
  <c r="AJ11" i="6"/>
  <c r="AI11" i="6"/>
  <c r="AH11" i="6"/>
  <c r="AG11" i="6"/>
  <c r="AF11" i="6"/>
  <c r="AD11" i="6"/>
  <c r="AC11" i="6"/>
  <c r="AB11" i="6"/>
  <c r="AA11" i="6"/>
  <c r="Z11" i="6"/>
  <c r="Y11" i="6"/>
  <c r="W11" i="6"/>
  <c r="V11" i="6"/>
  <c r="U11" i="6"/>
  <c r="T11" i="6"/>
  <c r="S11" i="6"/>
  <c r="R11" i="6"/>
  <c r="AK10" i="6"/>
  <c r="AJ10" i="6"/>
  <c r="AI10" i="6"/>
  <c r="AH10" i="6"/>
  <c r="AG10" i="6"/>
  <c r="AF10" i="6"/>
  <c r="AD10" i="6"/>
  <c r="AC10" i="6"/>
  <c r="AB10" i="6"/>
  <c r="AA10" i="6"/>
  <c r="Z10" i="6"/>
  <c r="Y10" i="6"/>
  <c r="W10" i="6"/>
  <c r="V10" i="6"/>
  <c r="U10" i="6"/>
  <c r="T10" i="6"/>
  <c r="S10" i="6"/>
  <c r="R10" i="6"/>
  <c r="AK9" i="6"/>
  <c r="AJ9" i="6"/>
  <c r="AI9" i="6"/>
  <c r="AH9" i="6"/>
  <c r="AG9" i="6"/>
  <c r="AF9" i="6"/>
  <c r="AD9" i="6"/>
  <c r="AC9" i="6"/>
  <c r="AB9" i="6"/>
  <c r="AA9" i="6"/>
  <c r="Z9" i="6"/>
  <c r="Y9" i="6"/>
  <c r="W9" i="6"/>
  <c r="V9" i="6"/>
  <c r="U9" i="6"/>
  <c r="T9" i="6"/>
  <c r="S9" i="6"/>
  <c r="R9" i="6"/>
  <c r="AK8" i="6"/>
  <c r="AJ8" i="6"/>
  <c r="AI8" i="6"/>
  <c r="AH8" i="6"/>
  <c r="AG8" i="6"/>
  <c r="AF8" i="6"/>
  <c r="AD8" i="6"/>
  <c r="AC8" i="6"/>
  <c r="AB8" i="6"/>
  <c r="AA8" i="6"/>
  <c r="Z8" i="6"/>
  <c r="Y8" i="6"/>
  <c r="W8" i="6"/>
  <c r="V8" i="6"/>
  <c r="U8" i="6"/>
  <c r="T8" i="6"/>
  <c r="S8" i="6"/>
  <c r="R8" i="6"/>
  <c r="AK7" i="6"/>
  <c r="AJ7" i="6"/>
  <c r="AI7" i="6"/>
  <c r="AH7" i="6"/>
  <c r="AG7" i="6"/>
  <c r="AF7" i="6"/>
  <c r="AD7" i="6"/>
  <c r="AC7" i="6"/>
  <c r="AB7" i="6"/>
  <c r="AA7" i="6"/>
  <c r="Z7" i="6"/>
  <c r="Y7" i="6"/>
  <c r="W7" i="6"/>
  <c r="V7" i="6"/>
  <c r="U7" i="6"/>
  <c r="T7" i="6"/>
  <c r="S7" i="6"/>
  <c r="R7" i="6"/>
  <c r="AK6" i="6"/>
  <c r="AJ6" i="6"/>
  <c r="AI6" i="6"/>
  <c r="AH6" i="6"/>
  <c r="AG6" i="6"/>
  <c r="AF6" i="6"/>
  <c r="AD6" i="6"/>
  <c r="AC6" i="6"/>
  <c r="AB6" i="6"/>
  <c r="AA6" i="6"/>
  <c r="Z6" i="6"/>
  <c r="Y6" i="6"/>
  <c r="W6" i="6"/>
  <c r="V6" i="6"/>
  <c r="U6" i="6"/>
  <c r="T6" i="6"/>
  <c r="S6" i="6"/>
  <c r="R6" i="6"/>
  <c r="AK5" i="6"/>
  <c r="AJ5" i="6"/>
  <c r="AI5" i="6"/>
  <c r="AH5" i="6"/>
  <c r="AG5" i="6"/>
  <c r="AF5" i="6"/>
  <c r="AD5" i="6"/>
  <c r="AC5" i="6"/>
  <c r="AB5" i="6"/>
  <c r="AA5" i="6"/>
  <c r="Z5" i="6"/>
  <c r="Y5" i="6"/>
  <c r="W5" i="6"/>
  <c r="V5" i="6"/>
  <c r="U5" i="6"/>
  <c r="T5" i="6"/>
  <c r="S5" i="6"/>
  <c r="R5" i="6"/>
  <c r="AK4" i="6"/>
  <c r="AJ4" i="6"/>
  <c r="AI4" i="6"/>
  <c r="AH4" i="6"/>
  <c r="AG4" i="6"/>
  <c r="AF4" i="6"/>
  <c r="AD4" i="6"/>
  <c r="AC4" i="6"/>
  <c r="AB4" i="6"/>
  <c r="AA4" i="6"/>
  <c r="Z4" i="6"/>
  <c r="Y4" i="6"/>
  <c r="W4" i="6"/>
  <c r="V4" i="6"/>
  <c r="U4" i="6"/>
  <c r="T4" i="6"/>
  <c r="S4" i="6"/>
  <c r="R4" i="6"/>
  <c r="P31" i="4"/>
  <c r="O31" i="4"/>
  <c r="N31" i="4"/>
  <c r="M31" i="4"/>
  <c r="L31" i="4"/>
  <c r="K31" i="4"/>
  <c r="J31" i="4"/>
  <c r="I31" i="4"/>
  <c r="H31" i="4"/>
  <c r="G31" i="4"/>
  <c r="F31" i="4"/>
  <c r="E31" i="4"/>
  <c r="AK30" i="4"/>
  <c r="AJ30" i="4"/>
  <c r="AI30" i="4"/>
  <c r="AH30" i="4"/>
  <c r="AG30" i="4"/>
  <c r="AF30" i="4"/>
  <c r="AD30" i="4"/>
  <c r="AC30" i="4"/>
  <c r="AB30" i="4"/>
  <c r="AA30" i="4"/>
  <c r="Z30" i="4"/>
  <c r="Y30" i="4"/>
  <c r="W30" i="4"/>
  <c r="V30" i="4"/>
  <c r="U30" i="4"/>
  <c r="T30" i="4"/>
  <c r="S30" i="4"/>
  <c r="R30" i="4"/>
  <c r="AK29" i="4"/>
  <c r="AJ29" i="4"/>
  <c r="AI29" i="4"/>
  <c r="AH29" i="4"/>
  <c r="AG29" i="4"/>
  <c r="AF29" i="4"/>
  <c r="AD29" i="4"/>
  <c r="AC29" i="4"/>
  <c r="AB29" i="4"/>
  <c r="AA29" i="4"/>
  <c r="Z29" i="4"/>
  <c r="Y29" i="4"/>
  <c r="W29" i="4"/>
  <c r="V29" i="4"/>
  <c r="U29" i="4"/>
  <c r="T29" i="4"/>
  <c r="S29" i="4"/>
  <c r="R29" i="4"/>
  <c r="AK28" i="4"/>
  <c r="AJ28" i="4"/>
  <c r="AI28" i="4"/>
  <c r="AH28" i="4"/>
  <c r="AG28" i="4"/>
  <c r="AF28" i="4"/>
  <c r="AD28" i="4"/>
  <c r="AC28" i="4"/>
  <c r="AB28" i="4"/>
  <c r="AA28" i="4"/>
  <c r="Z28" i="4"/>
  <c r="Y28" i="4"/>
  <c r="W28" i="4"/>
  <c r="V28" i="4"/>
  <c r="U28" i="4"/>
  <c r="T28" i="4"/>
  <c r="S28" i="4"/>
  <c r="R28" i="4"/>
  <c r="AK27" i="4"/>
  <c r="AJ27" i="4"/>
  <c r="AI27" i="4"/>
  <c r="AH27" i="4"/>
  <c r="AG27" i="4"/>
  <c r="AF27" i="4"/>
  <c r="AD27" i="4"/>
  <c r="AC27" i="4"/>
  <c r="AB27" i="4"/>
  <c r="AA27" i="4"/>
  <c r="Z27" i="4"/>
  <c r="Y27" i="4"/>
  <c r="W27" i="4"/>
  <c r="V27" i="4"/>
  <c r="U27" i="4"/>
  <c r="T27" i="4"/>
  <c r="S27" i="4"/>
  <c r="R27" i="4"/>
  <c r="AK26" i="4"/>
  <c r="AJ26" i="4"/>
  <c r="AI26" i="4"/>
  <c r="AH26" i="4"/>
  <c r="AG26" i="4"/>
  <c r="AF26" i="4"/>
  <c r="AD26" i="4"/>
  <c r="AC26" i="4"/>
  <c r="AB26" i="4"/>
  <c r="AA26" i="4"/>
  <c r="Z26" i="4"/>
  <c r="Y26" i="4"/>
  <c r="W26" i="4"/>
  <c r="V26" i="4"/>
  <c r="U26" i="4"/>
  <c r="T26" i="4"/>
  <c r="S26" i="4"/>
  <c r="R26" i="4"/>
  <c r="AK25" i="4"/>
  <c r="AJ25" i="4"/>
  <c r="AI25" i="4"/>
  <c r="AH25" i="4"/>
  <c r="AG25" i="4"/>
  <c r="AF25" i="4"/>
  <c r="AD25" i="4"/>
  <c r="AC25" i="4"/>
  <c r="AB25" i="4"/>
  <c r="AA25" i="4"/>
  <c r="Z25" i="4"/>
  <c r="Y25" i="4"/>
  <c r="W25" i="4"/>
  <c r="V25" i="4"/>
  <c r="U25" i="4"/>
  <c r="T25" i="4"/>
  <c r="S25" i="4"/>
  <c r="R25" i="4"/>
  <c r="AK24" i="4"/>
  <c r="AJ24" i="4"/>
  <c r="AI24" i="4"/>
  <c r="AH24" i="4"/>
  <c r="AG24" i="4"/>
  <c r="AF24" i="4"/>
  <c r="AD24" i="4"/>
  <c r="AC24" i="4"/>
  <c r="AB24" i="4"/>
  <c r="AA24" i="4"/>
  <c r="Z24" i="4"/>
  <c r="Y24" i="4"/>
  <c r="W24" i="4"/>
  <c r="V24" i="4"/>
  <c r="U24" i="4"/>
  <c r="T24" i="4"/>
  <c r="S24" i="4"/>
  <c r="R24" i="4"/>
  <c r="AK23" i="4"/>
  <c r="AJ23" i="4"/>
  <c r="AI23" i="4"/>
  <c r="AH23" i="4"/>
  <c r="AG23" i="4"/>
  <c r="AF23" i="4"/>
  <c r="AD23" i="4"/>
  <c r="AC23" i="4"/>
  <c r="AB23" i="4"/>
  <c r="AA23" i="4"/>
  <c r="Z23" i="4"/>
  <c r="Y23" i="4"/>
  <c r="W23" i="4"/>
  <c r="V23" i="4"/>
  <c r="U23" i="4"/>
  <c r="T23" i="4"/>
  <c r="S23" i="4"/>
  <c r="R23" i="4"/>
  <c r="AK22" i="4"/>
  <c r="AJ22" i="4"/>
  <c r="AI22" i="4"/>
  <c r="AH22" i="4"/>
  <c r="AG22" i="4"/>
  <c r="AF22" i="4"/>
  <c r="AD22" i="4"/>
  <c r="AC22" i="4"/>
  <c r="AB22" i="4"/>
  <c r="AA22" i="4"/>
  <c r="Z22" i="4"/>
  <c r="Y22" i="4"/>
  <c r="W22" i="4"/>
  <c r="V22" i="4"/>
  <c r="U22" i="4"/>
  <c r="T22" i="4"/>
  <c r="S22" i="4"/>
  <c r="R22" i="4"/>
  <c r="AK21" i="4"/>
  <c r="AJ21" i="4"/>
  <c r="AI21" i="4"/>
  <c r="AH21" i="4"/>
  <c r="AG21" i="4"/>
  <c r="AF21" i="4"/>
  <c r="AD21" i="4"/>
  <c r="AC21" i="4"/>
  <c r="AB21" i="4"/>
  <c r="AA21" i="4"/>
  <c r="Z21" i="4"/>
  <c r="Y21" i="4"/>
  <c r="W21" i="4"/>
  <c r="V21" i="4"/>
  <c r="U21" i="4"/>
  <c r="T21" i="4"/>
  <c r="S21" i="4"/>
  <c r="R21" i="4"/>
  <c r="AK20" i="4"/>
  <c r="AJ20" i="4"/>
  <c r="AI20" i="4"/>
  <c r="AH20" i="4"/>
  <c r="AG20" i="4"/>
  <c r="AF20" i="4"/>
  <c r="AD20" i="4"/>
  <c r="AC20" i="4"/>
  <c r="AB20" i="4"/>
  <c r="AA20" i="4"/>
  <c r="Z20" i="4"/>
  <c r="Y20" i="4"/>
  <c r="W20" i="4"/>
  <c r="V20" i="4"/>
  <c r="U20" i="4"/>
  <c r="T20" i="4"/>
  <c r="S20" i="4"/>
  <c r="R20" i="4"/>
  <c r="AK19" i="4"/>
  <c r="AJ19" i="4"/>
  <c r="AI19" i="4"/>
  <c r="AH19" i="4"/>
  <c r="AG19" i="4"/>
  <c r="AF19" i="4"/>
  <c r="AD19" i="4"/>
  <c r="AC19" i="4"/>
  <c r="AB19" i="4"/>
  <c r="AA19" i="4"/>
  <c r="Z19" i="4"/>
  <c r="Y19" i="4"/>
  <c r="W19" i="4"/>
  <c r="V19" i="4"/>
  <c r="U19" i="4"/>
  <c r="T19" i="4"/>
  <c r="S19" i="4"/>
  <c r="R19" i="4"/>
  <c r="AK18" i="4"/>
  <c r="AJ18" i="4"/>
  <c r="AI18" i="4"/>
  <c r="AH18" i="4"/>
  <c r="AG18" i="4"/>
  <c r="AF18" i="4"/>
  <c r="AD18" i="4"/>
  <c r="AC18" i="4"/>
  <c r="AB18" i="4"/>
  <c r="AA18" i="4"/>
  <c r="Z18" i="4"/>
  <c r="Y18" i="4"/>
  <c r="W18" i="4"/>
  <c r="V18" i="4"/>
  <c r="U18" i="4"/>
  <c r="T18" i="4"/>
  <c r="S18" i="4"/>
  <c r="R18" i="4"/>
  <c r="AK17" i="4"/>
  <c r="AJ17" i="4"/>
  <c r="AI17" i="4"/>
  <c r="AH17" i="4"/>
  <c r="AG17" i="4"/>
  <c r="AF17" i="4"/>
  <c r="AD17" i="4"/>
  <c r="AC17" i="4"/>
  <c r="AB17" i="4"/>
  <c r="AA17" i="4"/>
  <c r="Z17" i="4"/>
  <c r="Y17" i="4"/>
  <c r="W17" i="4"/>
  <c r="V17" i="4"/>
  <c r="U17" i="4"/>
  <c r="T17" i="4"/>
  <c r="S17" i="4"/>
  <c r="R17" i="4"/>
  <c r="AK16" i="4"/>
  <c r="AJ16" i="4"/>
  <c r="AI16" i="4"/>
  <c r="AH16" i="4"/>
  <c r="AG16" i="4"/>
  <c r="AF16" i="4"/>
  <c r="AD16" i="4"/>
  <c r="AC16" i="4"/>
  <c r="AB16" i="4"/>
  <c r="AA16" i="4"/>
  <c r="Z16" i="4"/>
  <c r="Y16" i="4"/>
  <c r="W16" i="4"/>
  <c r="V16" i="4"/>
  <c r="U16" i="4"/>
  <c r="T16" i="4"/>
  <c r="S16" i="4"/>
  <c r="R16" i="4"/>
  <c r="AK15" i="4"/>
  <c r="AJ15" i="4"/>
  <c r="AI15" i="4"/>
  <c r="AH15" i="4"/>
  <c r="AG15" i="4"/>
  <c r="AF15" i="4"/>
  <c r="AD15" i="4"/>
  <c r="AC15" i="4"/>
  <c r="AB15" i="4"/>
  <c r="AA15" i="4"/>
  <c r="Z15" i="4"/>
  <c r="Y15" i="4"/>
  <c r="W15" i="4"/>
  <c r="V15" i="4"/>
  <c r="U15" i="4"/>
  <c r="T15" i="4"/>
  <c r="S15" i="4"/>
  <c r="R15" i="4"/>
  <c r="AK14" i="4"/>
  <c r="AJ14" i="4"/>
  <c r="AI14" i="4"/>
  <c r="AH14" i="4"/>
  <c r="AG14" i="4"/>
  <c r="AF14" i="4"/>
  <c r="AD14" i="4"/>
  <c r="AC14" i="4"/>
  <c r="AB14" i="4"/>
  <c r="AA14" i="4"/>
  <c r="Z14" i="4"/>
  <c r="Y14" i="4"/>
  <c r="W14" i="4"/>
  <c r="V14" i="4"/>
  <c r="U14" i="4"/>
  <c r="T14" i="4"/>
  <c r="S14" i="4"/>
  <c r="R14" i="4"/>
  <c r="AK13" i="4"/>
  <c r="AJ13" i="4"/>
  <c r="AI13" i="4"/>
  <c r="AH13" i="4"/>
  <c r="AG13" i="4"/>
  <c r="AF13" i="4"/>
  <c r="AD13" i="4"/>
  <c r="AC13" i="4"/>
  <c r="AB13" i="4"/>
  <c r="AA13" i="4"/>
  <c r="Z13" i="4"/>
  <c r="Y13" i="4"/>
  <c r="W13" i="4"/>
  <c r="V13" i="4"/>
  <c r="U13" i="4"/>
  <c r="T13" i="4"/>
  <c r="S13" i="4"/>
  <c r="R13" i="4"/>
  <c r="AK12" i="4"/>
  <c r="AJ12" i="4"/>
  <c r="AI12" i="4"/>
  <c r="AH12" i="4"/>
  <c r="AG12" i="4"/>
  <c r="AF12" i="4"/>
  <c r="AD12" i="4"/>
  <c r="AC12" i="4"/>
  <c r="AB12" i="4"/>
  <c r="AA12" i="4"/>
  <c r="Z12" i="4"/>
  <c r="Y12" i="4"/>
  <c r="W12" i="4"/>
  <c r="V12" i="4"/>
  <c r="U12" i="4"/>
  <c r="T12" i="4"/>
  <c r="S12" i="4"/>
  <c r="R12" i="4"/>
  <c r="AK11" i="4"/>
  <c r="AJ11" i="4"/>
  <c r="AI11" i="4"/>
  <c r="AH11" i="4"/>
  <c r="AG11" i="4"/>
  <c r="AF11" i="4"/>
  <c r="AD11" i="4"/>
  <c r="AC11" i="4"/>
  <c r="AB11" i="4"/>
  <c r="AA11" i="4"/>
  <c r="Z11" i="4"/>
  <c r="Y11" i="4"/>
  <c r="W11" i="4"/>
  <c r="V11" i="4"/>
  <c r="U11" i="4"/>
  <c r="T11" i="4"/>
  <c r="S11" i="4"/>
  <c r="R11" i="4"/>
  <c r="AK10" i="4"/>
  <c r="AJ10" i="4"/>
  <c r="AI10" i="4"/>
  <c r="AH10" i="4"/>
  <c r="AG10" i="4"/>
  <c r="AF10" i="4"/>
  <c r="AD10" i="4"/>
  <c r="AC10" i="4"/>
  <c r="AB10" i="4"/>
  <c r="AA10" i="4"/>
  <c r="Z10" i="4"/>
  <c r="Y10" i="4"/>
  <c r="W10" i="4"/>
  <c r="V10" i="4"/>
  <c r="U10" i="4"/>
  <c r="T10" i="4"/>
  <c r="S10" i="4"/>
  <c r="R10" i="4"/>
  <c r="AK9" i="4"/>
  <c r="AJ9" i="4"/>
  <c r="AI9" i="4"/>
  <c r="AH9" i="4"/>
  <c r="AG9" i="4"/>
  <c r="AF9" i="4"/>
  <c r="AD9" i="4"/>
  <c r="AC9" i="4"/>
  <c r="AB9" i="4"/>
  <c r="AA9" i="4"/>
  <c r="Z9" i="4"/>
  <c r="Y9" i="4"/>
  <c r="W9" i="4"/>
  <c r="V9" i="4"/>
  <c r="U9" i="4"/>
  <c r="T9" i="4"/>
  <c r="S9" i="4"/>
  <c r="R9" i="4"/>
  <c r="AK8" i="4"/>
  <c r="AJ8" i="4"/>
  <c r="AI8" i="4"/>
  <c r="AH8" i="4"/>
  <c r="AG8" i="4"/>
  <c r="AF8" i="4"/>
  <c r="AD8" i="4"/>
  <c r="AC8" i="4"/>
  <c r="AB8" i="4"/>
  <c r="AA8" i="4"/>
  <c r="Z8" i="4"/>
  <c r="Y8" i="4"/>
  <c r="W8" i="4"/>
  <c r="V8" i="4"/>
  <c r="U8" i="4"/>
  <c r="T8" i="4"/>
  <c r="S8" i="4"/>
  <c r="R8" i="4"/>
  <c r="AK7" i="4"/>
  <c r="AJ7" i="4"/>
  <c r="AI7" i="4"/>
  <c r="AH7" i="4"/>
  <c r="AG7" i="4"/>
  <c r="AF7" i="4"/>
  <c r="AD7" i="4"/>
  <c r="AC7" i="4"/>
  <c r="AB7" i="4"/>
  <c r="AA7" i="4"/>
  <c r="Z7" i="4"/>
  <c r="Y7" i="4"/>
  <c r="W7" i="4"/>
  <c r="V7" i="4"/>
  <c r="U7" i="4"/>
  <c r="T7" i="4"/>
  <c r="S7" i="4"/>
  <c r="R7" i="4"/>
  <c r="AK6" i="4"/>
  <c r="AJ6" i="4"/>
  <c r="AI6" i="4"/>
  <c r="AH6" i="4"/>
  <c r="AG6" i="4"/>
  <c r="AF6" i="4"/>
  <c r="AD6" i="4"/>
  <c r="AC6" i="4"/>
  <c r="AB6" i="4"/>
  <c r="AA6" i="4"/>
  <c r="Z6" i="4"/>
  <c r="Y6" i="4"/>
  <c r="W6" i="4"/>
  <c r="V6" i="4"/>
  <c r="U6" i="4"/>
  <c r="T6" i="4"/>
  <c r="S6" i="4"/>
  <c r="R6" i="4"/>
  <c r="AK5" i="4"/>
  <c r="AJ5" i="4"/>
  <c r="AI5" i="4"/>
  <c r="AH5" i="4"/>
  <c r="AG5" i="4"/>
  <c r="AF5" i="4"/>
  <c r="AD5" i="4"/>
  <c r="AC5" i="4"/>
  <c r="AB5" i="4"/>
  <c r="AA5" i="4"/>
  <c r="Z5" i="4"/>
  <c r="Y5" i="4"/>
  <c r="W5" i="4"/>
  <c r="V5" i="4"/>
  <c r="U5" i="4"/>
  <c r="T5" i="4"/>
  <c r="S5" i="4"/>
  <c r="R5" i="4"/>
  <c r="AK4" i="4"/>
  <c r="AJ4" i="4"/>
  <c r="AI4" i="4"/>
  <c r="AH4" i="4"/>
  <c r="AG4" i="4"/>
  <c r="AF4" i="4"/>
  <c r="AD4" i="4"/>
  <c r="AC4" i="4"/>
  <c r="AB4" i="4"/>
  <c r="AA4" i="4"/>
  <c r="Z4" i="4"/>
  <c r="Y4" i="4"/>
  <c r="W4" i="4"/>
  <c r="V4" i="4"/>
  <c r="U4" i="4"/>
  <c r="T4" i="4"/>
  <c r="S4" i="4"/>
  <c r="R4" i="4"/>
  <c r="AF5" i="2"/>
  <c r="AG5" i="2"/>
  <c r="AH5" i="2"/>
  <c r="AI5" i="2"/>
  <c r="AJ5" i="2"/>
  <c r="AK5" i="2"/>
  <c r="AF6" i="2"/>
  <c r="AG6" i="2"/>
  <c r="AH6" i="2"/>
  <c r="AI6" i="2"/>
  <c r="AJ6" i="2"/>
  <c r="AK6" i="2"/>
  <c r="AF7" i="2"/>
  <c r="AG7" i="2"/>
  <c r="AH7" i="2"/>
  <c r="AI7" i="2"/>
  <c r="AJ7" i="2"/>
  <c r="AK7" i="2"/>
  <c r="AF8" i="2"/>
  <c r="AG8" i="2"/>
  <c r="AH8" i="2"/>
  <c r="AI8" i="2"/>
  <c r="AJ8" i="2"/>
  <c r="AK8" i="2"/>
  <c r="AF9" i="2"/>
  <c r="AG9" i="2"/>
  <c r="AH9" i="2"/>
  <c r="AI9" i="2"/>
  <c r="AJ9" i="2"/>
  <c r="AK9" i="2"/>
  <c r="AF10" i="2"/>
  <c r="AG10" i="2"/>
  <c r="AH10" i="2"/>
  <c r="AI10" i="2"/>
  <c r="AJ10" i="2"/>
  <c r="AK10" i="2"/>
  <c r="AF11" i="2"/>
  <c r="AG11" i="2"/>
  <c r="AH11" i="2"/>
  <c r="AI11" i="2"/>
  <c r="AJ11" i="2"/>
  <c r="AK11" i="2"/>
  <c r="AF12" i="2"/>
  <c r="AG12" i="2"/>
  <c r="AH12" i="2"/>
  <c r="AI12" i="2"/>
  <c r="AJ12" i="2"/>
  <c r="AK12" i="2"/>
  <c r="AF13" i="2"/>
  <c r="AG13" i="2"/>
  <c r="AH13" i="2"/>
  <c r="AI13" i="2"/>
  <c r="AJ13" i="2"/>
  <c r="AK13" i="2"/>
  <c r="AF14" i="2"/>
  <c r="AG14" i="2"/>
  <c r="AH14" i="2"/>
  <c r="AI14" i="2"/>
  <c r="AJ14" i="2"/>
  <c r="AK14" i="2"/>
  <c r="AF15" i="2"/>
  <c r="AG15" i="2"/>
  <c r="AH15" i="2"/>
  <c r="AI15" i="2"/>
  <c r="AJ15" i="2"/>
  <c r="AK15" i="2"/>
  <c r="AF16" i="2"/>
  <c r="AG16" i="2"/>
  <c r="AH16" i="2"/>
  <c r="AI16" i="2"/>
  <c r="AJ16" i="2"/>
  <c r="AK16" i="2"/>
  <c r="AF17" i="2"/>
  <c r="AG17" i="2"/>
  <c r="AH17" i="2"/>
  <c r="AI17" i="2"/>
  <c r="AJ17" i="2"/>
  <c r="AK17" i="2"/>
  <c r="AF18" i="2"/>
  <c r="AG18" i="2"/>
  <c r="AH18" i="2"/>
  <c r="AI18" i="2"/>
  <c r="AJ18" i="2"/>
  <c r="AK18" i="2"/>
  <c r="AF19" i="2"/>
  <c r="AG19" i="2"/>
  <c r="AH19" i="2"/>
  <c r="AI19" i="2"/>
  <c r="AJ19" i="2"/>
  <c r="AK19" i="2"/>
  <c r="AF20" i="2"/>
  <c r="AG20" i="2"/>
  <c r="AH20" i="2"/>
  <c r="AI20" i="2"/>
  <c r="AJ20" i="2"/>
  <c r="AK20" i="2"/>
  <c r="AF21" i="2"/>
  <c r="AG21" i="2"/>
  <c r="AH21" i="2"/>
  <c r="AI21" i="2"/>
  <c r="AJ21" i="2"/>
  <c r="AK21" i="2"/>
  <c r="AF22" i="2"/>
  <c r="AG22" i="2"/>
  <c r="AH22" i="2"/>
  <c r="AI22" i="2"/>
  <c r="AJ22" i="2"/>
  <c r="AK22" i="2"/>
  <c r="AF23" i="2"/>
  <c r="AG23" i="2"/>
  <c r="AH23" i="2"/>
  <c r="AI23" i="2"/>
  <c r="AJ23" i="2"/>
  <c r="AK23" i="2"/>
  <c r="AF24" i="2"/>
  <c r="AG24" i="2"/>
  <c r="AH24" i="2"/>
  <c r="AI24" i="2"/>
  <c r="AJ24" i="2"/>
  <c r="AK24" i="2"/>
  <c r="AF25" i="2"/>
  <c r="AG25" i="2"/>
  <c r="AH25" i="2"/>
  <c r="AI25" i="2"/>
  <c r="AJ25" i="2"/>
  <c r="AK25" i="2"/>
  <c r="AF26" i="2"/>
  <c r="AG26" i="2"/>
  <c r="AH26" i="2"/>
  <c r="AI26" i="2"/>
  <c r="AJ26" i="2"/>
  <c r="AK26" i="2"/>
  <c r="AF27" i="2"/>
  <c r="AG27" i="2"/>
  <c r="AH27" i="2"/>
  <c r="AI27" i="2"/>
  <c r="AJ27" i="2"/>
  <c r="AK27" i="2"/>
  <c r="AF28" i="2"/>
  <c r="AG28" i="2"/>
  <c r="AH28" i="2"/>
  <c r="AI28" i="2"/>
  <c r="AJ28" i="2"/>
  <c r="AK28" i="2"/>
  <c r="AF29" i="2"/>
  <c r="AG29" i="2"/>
  <c r="AH29" i="2"/>
  <c r="AI29" i="2"/>
  <c r="AJ29" i="2"/>
  <c r="AK29" i="2"/>
  <c r="AF30" i="2"/>
  <c r="AG30" i="2"/>
  <c r="AH30" i="2"/>
  <c r="AI30" i="2"/>
  <c r="AJ30" i="2"/>
  <c r="AK30" i="2"/>
  <c r="AK4" i="2"/>
  <c r="AJ4" i="2"/>
  <c r="AI4" i="2"/>
  <c r="AH4" i="2"/>
  <c r="AG4" i="2"/>
  <c r="AF4" i="2"/>
  <c r="Y5" i="2"/>
  <c r="Z5" i="2"/>
  <c r="AA5" i="2"/>
  <c r="AB5" i="2"/>
  <c r="AC5" i="2"/>
  <c r="AD5" i="2"/>
  <c r="Y6" i="2"/>
  <c r="Z6" i="2"/>
  <c r="AA6" i="2"/>
  <c r="AB6" i="2"/>
  <c r="AC6" i="2"/>
  <c r="AD6" i="2"/>
  <c r="Y7" i="2"/>
  <c r="Z7" i="2"/>
  <c r="AA7" i="2"/>
  <c r="AB7" i="2"/>
  <c r="AC7" i="2"/>
  <c r="AD7" i="2"/>
  <c r="Y8" i="2"/>
  <c r="Z8" i="2"/>
  <c r="AA8" i="2"/>
  <c r="AB8" i="2"/>
  <c r="AC8" i="2"/>
  <c r="AD8" i="2"/>
  <c r="Y9" i="2"/>
  <c r="Z9" i="2"/>
  <c r="AA9" i="2"/>
  <c r="AB9" i="2"/>
  <c r="AC9" i="2"/>
  <c r="AD9" i="2"/>
  <c r="Y10" i="2"/>
  <c r="Z10" i="2"/>
  <c r="AA10" i="2"/>
  <c r="AB10" i="2"/>
  <c r="AC10" i="2"/>
  <c r="AD10" i="2"/>
  <c r="Y11" i="2"/>
  <c r="Z11" i="2"/>
  <c r="AA11" i="2"/>
  <c r="AB11" i="2"/>
  <c r="AC11" i="2"/>
  <c r="AD11" i="2"/>
  <c r="Y12" i="2"/>
  <c r="Z12" i="2"/>
  <c r="AA12" i="2"/>
  <c r="AB12" i="2"/>
  <c r="AC12" i="2"/>
  <c r="AD12" i="2"/>
  <c r="Y13" i="2"/>
  <c r="Z13" i="2"/>
  <c r="AA13" i="2"/>
  <c r="AB13" i="2"/>
  <c r="AC13" i="2"/>
  <c r="AD13" i="2"/>
  <c r="Y14" i="2"/>
  <c r="Z14" i="2"/>
  <c r="AA14" i="2"/>
  <c r="AB14" i="2"/>
  <c r="AC14" i="2"/>
  <c r="AD14" i="2"/>
  <c r="Y15" i="2"/>
  <c r="Z15" i="2"/>
  <c r="AA15" i="2"/>
  <c r="AB15" i="2"/>
  <c r="AC15" i="2"/>
  <c r="AD15" i="2"/>
  <c r="Y16" i="2"/>
  <c r="Z16" i="2"/>
  <c r="AA16" i="2"/>
  <c r="AB16" i="2"/>
  <c r="AC16" i="2"/>
  <c r="AD16" i="2"/>
  <c r="Y17" i="2"/>
  <c r="Z17" i="2"/>
  <c r="AA17" i="2"/>
  <c r="AB17" i="2"/>
  <c r="AC17" i="2"/>
  <c r="AD17" i="2"/>
  <c r="Y18" i="2"/>
  <c r="Z18" i="2"/>
  <c r="AA18" i="2"/>
  <c r="AB18" i="2"/>
  <c r="AC18" i="2"/>
  <c r="AD18" i="2"/>
  <c r="Y19" i="2"/>
  <c r="Z19" i="2"/>
  <c r="AA19" i="2"/>
  <c r="AB19" i="2"/>
  <c r="AC19" i="2"/>
  <c r="AD19" i="2"/>
  <c r="Y20" i="2"/>
  <c r="Z20" i="2"/>
  <c r="AA20" i="2"/>
  <c r="AB20" i="2"/>
  <c r="AC20" i="2"/>
  <c r="AD20" i="2"/>
  <c r="Y21" i="2"/>
  <c r="Z21" i="2"/>
  <c r="AA21" i="2"/>
  <c r="AB21" i="2"/>
  <c r="AC21" i="2"/>
  <c r="AD21" i="2"/>
  <c r="Y22" i="2"/>
  <c r="Z22" i="2"/>
  <c r="AA22" i="2"/>
  <c r="AB22" i="2"/>
  <c r="AC22" i="2"/>
  <c r="AD22" i="2"/>
  <c r="Y23" i="2"/>
  <c r="Z23" i="2"/>
  <c r="AA23" i="2"/>
  <c r="AB23" i="2"/>
  <c r="AC23" i="2"/>
  <c r="AD23" i="2"/>
  <c r="Y24" i="2"/>
  <c r="Z24" i="2"/>
  <c r="AA24" i="2"/>
  <c r="AB24" i="2"/>
  <c r="AC24" i="2"/>
  <c r="AD24" i="2"/>
  <c r="Y25" i="2"/>
  <c r="Z25" i="2"/>
  <c r="AA25" i="2"/>
  <c r="AB25" i="2"/>
  <c r="AC25" i="2"/>
  <c r="AD25" i="2"/>
  <c r="Y26" i="2"/>
  <c r="Z26" i="2"/>
  <c r="AA26" i="2"/>
  <c r="AB26" i="2"/>
  <c r="AC26" i="2"/>
  <c r="AD26" i="2"/>
  <c r="Y27" i="2"/>
  <c r="Z27" i="2"/>
  <c r="AA27" i="2"/>
  <c r="AB27" i="2"/>
  <c r="AC27" i="2"/>
  <c r="AD27" i="2"/>
  <c r="Y28" i="2"/>
  <c r="Z28" i="2"/>
  <c r="AA28" i="2"/>
  <c r="AB28" i="2"/>
  <c r="AC28" i="2"/>
  <c r="AD28" i="2"/>
  <c r="Y29" i="2"/>
  <c r="Z29" i="2"/>
  <c r="AA29" i="2"/>
  <c r="AB29" i="2"/>
  <c r="AC29" i="2"/>
  <c r="AD29" i="2"/>
  <c r="Y30" i="2"/>
  <c r="Z30" i="2"/>
  <c r="AA30" i="2"/>
  <c r="AB30" i="2"/>
  <c r="AC30" i="2"/>
  <c r="AD30" i="2"/>
  <c r="AD4" i="2"/>
  <c r="AC4" i="2"/>
  <c r="AB4" i="2"/>
  <c r="AA4" i="2"/>
  <c r="Z4" i="2"/>
  <c r="Y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4" i="2"/>
  <c r="P31" i="2"/>
  <c r="O31" i="2"/>
  <c r="N31" i="2"/>
  <c r="M31" i="2"/>
  <c r="L31" i="2"/>
  <c r="K31" i="2"/>
  <c r="J31" i="2"/>
  <c r="I31" i="2"/>
  <c r="H31" i="2"/>
  <c r="G31" i="2"/>
  <c r="F31" i="2"/>
  <c r="E31" i="2"/>
</calcChain>
</file>

<file path=xl/sharedStrings.xml><?xml version="1.0" encoding="utf-8"?>
<sst xmlns="http://schemas.openxmlformats.org/spreadsheetml/2006/main" count="562" uniqueCount="40">
  <si>
    <t>Comparison</t>
  </si>
  <si>
    <t>|L|</t>
  </si>
  <si>
    <t>N for Test</t>
  </si>
  <si>
    <t>Wilcoxon Statistics</t>
  </si>
  <si>
    <t>Median Difference</t>
  </si>
  <si>
    <t>A1-A2</t>
  </si>
  <si>
    <t>A1-A3</t>
  </si>
  <si>
    <t>A1-A4</t>
  </si>
  <si>
    <t>A2-A3</t>
  </si>
  <si>
    <t>A2-A4</t>
  </si>
  <si>
    <t>A3-A4</t>
  </si>
  <si>
    <t>Result</t>
  </si>
  <si>
    <t>No significant difference</t>
  </si>
  <si>
    <t>A2 significantly better</t>
  </si>
  <si>
    <t>A3 significantly better</t>
  </si>
  <si>
    <t>A4 significantly better</t>
  </si>
  <si>
    <t>P-Value</t>
  </si>
  <si>
    <t>|L|=5</t>
  </si>
  <si>
    <t>|L|=7</t>
  </si>
  <si>
    <t>|L|=9</t>
  </si>
  <si>
    <t>WS</t>
  </si>
  <si>
    <t>S</t>
  </si>
  <si>
    <t>W</t>
  </si>
  <si>
    <t>A1</t>
  </si>
  <si>
    <t>A2</t>
  </si>
  <si>
    <t>A3</t>
  </si>
  <si>
    <t>A4</t>
  </si>
  <si>
    <t>Average</t>
  </si>
  <si>
    <t>IGD</t>
  </si>
  <si>
    <t>MID</t>
  </si>
  <si>
    <t>SNS</t>
  </si>
  <si>
    <t>-</t>
  </si>
  <si>
    <t>Sig. (p) &lt; 0.05 means a significant difference</t>
  </si>
  <si>
    <t>SP</t>
  </si>
  <si>
    <t>A1 significantly better</t>
  </si>
  <si>
    <t>1 (2 ns)</t>
  </si>
  <si>
    <t>0 (2 ns)</t>
  </si>
  <si>
    <t>Holm-adjusted significance threshold</t>
  </si>
  <si>
    <t>Reject H₀</t>
  </si>
  <si>
    <t>Keep H₀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</si>
</sst>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rgb="FF000000"/>
      <name val="Times New Roman"/>
      <family val="1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2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2" fontId="3" fillId="0" borderId="3" xfId="0" applyNumberFormat="1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2" fontId="3" fillId="0" borderId="0" xfId="0" applyNumberFormat="1" applyFont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C1E4-E266-4A1D-8457-3A3B10BFE4EF}">
  <dimension ref="B2:AK33"/>
  <sheetViews>
    <sheetView workbookViewId="0">
      <selection activeCell="W4" sqref="W4"/>
    </sheetView>
  </sheetViews>
  <sheetFormatPr defaultRowHeight="15.75" x14ac:dyDescent="0.25"/>
  <cols>
    <col min="1" max="1" width="8.85546875" style="1" customWidth="1"/>
    <col min="2" max="2" width="4.42578125" style="1" bestFit="1" customWidth="1"/>
    <col min="3" max="4" width="3.28515625" style="1" bestFit="1" customWidth="1"/>
    <col min="5" max="5" width="8.42578125" style="1" bestFit="1" customWidth="1"/>
    <col min="6" max="8" width="7.28515625" style="1" bestFit="1" customWidth="1"/>
    <col min="9" max="9" width="8.42578125" style="1" bestFit="1" customWidth="1"/>
    <col min="10" max="12" width="7.28515625" style="1" bestFit="1" customWidth="1"/>
    <col min="13" max="13" width="8.42578125" style="1" bestFit="1" customWidth="1"/>
    <col min="14" max="16" width="7.28515625" style="1" bestFit="1" customWidth="1"/>
    <col min="17" max="17" width="9.140625" style="1"/>
    <col min="18" max="20" width="8.42578125" style="1" bestFit="1" customWidth="1"/>
    <col min="21" max="21" width="8.140625" style="1" bestFit="1" customWidth="1"/>
    <col min="22" max="23" width="7.28515625" style="1" bestFit="1" customWidth="1"/>
    <col min="24" max="24" width="9.140625" style="1"/>
    <col min="25" max="27" width="8.42578125" style="1" bestFit="1" customWidth="1"/>
    <col min="28" max="28" width="8.140625" style="1" bestFit="1" customWidth="1"/>
    <col min="29" max="30" width="7.28515625" style="1" bestFit="1" customWidth="1"/>
    <col min="31" max="31" width="9.140625" style="1"/>
    <col min="32" max="34" width="8.42578125" style="1" bestFit="1" customWidth="1"/>
    <col min="35" max="35" width="8.140625" style="1" bestFit="1" customWidth="1"/>
    <col min="36" max="37" width="7.28515625" style="1" bestFit="1" customWidth="1"/>
    <col min="38" max="16384" width="9.140625" style="1"/>
  </cols>
  <sheetData>
    <row r="2" spans="2:37" x14ac:dyDescent="0.25">
      <c r="B2" s="13"/>
      <c r="C2" s="13"/>
      <c r="D2" s="13"/>
      <c r="E2" s="27" t="s">
        <v>17</v>
      </c>
      <c r="F2" s="27"/>
      <c r="G2" s="27"/>
      <c r="H2" s="27"/>
      <c r="I2" s="27" t="s">
        <v>18</v>
      </c>
      <c r="J2" s="27"/>
      <c r="K2" s="27"/>
      <c r="L2" s="27"/>
      <c r="M2" s="27" t="s">
        <v>19</v>
      </c>
      <c r="N2" s="27"/>
      <c r="O2" s="27"/>
      <c r="P2" s="27"/>
      <c r="R2" s="26" t="s">
        <v>17</v>
      </c>
      <c r="S2" s="26"/>
      <c r="T2" s="26"/>
      <c r="U2" s="26"/>
      <c r="V2" s="26"/>
      <c r="W2" s="26"/>
      <c r="X2" s="14"/>
      <c r="Y2" s="26" t="s">
        <v>18</v>
      </c>
      <c r="Z2" s="26"/>
      <c r="AA2" s="26"/>
      <c r="AB2" s="26"/>
      <c r="AC2" s="26"/>
      <c r="AD2" s="26"/>
      <c r="AE2" s="14"/>
      <c r="AF2" s="26" t="s">
        <v>18</v>
      </c>
      <c r="AG2" s="26"/>
      <c r="AH2" s="26"/>
      <c r="AI2" s="26"/>
      <c r="AJ2" s="26"/>
      <c r="AK2" s="26"/>
    </row>
    <row r="3" spans="2:37" x14ac:dyDescent="0.25">
      <c r="B3" s="15" t="s">
        <v>20</v>
      </c>
      <c r="C3" s="15" t="s">
        <v>21</v>
      </c>
      <c r="D3" s="15" t="s">
        <v>22</v>
      </c>
      <c r="E3" s="15" t="s">
        <v>23</v>
      </c>
      <c r="F3" s="15" t="s">
        <v>24</v>
      </c>
      <c r="G3" s="15" t="s">
        <v>25</v>
      </c>
      <c r="H3" s="15" t="s">
        <v>26</v>
      </c>
      <c r="I3" s="15" t="s">
        <v>23</v>
      </c>
      <c r="J3" s="15" t="s">
        <v>24</v>
      </c>
      <c r="K3" s="15" t="s">
        <v>25</v>
      </c>
      <c r="L3" s="15" t="s">
        <v>26</v>
      </c>
      <c r="M3" s="15" t="s">
        <v>23</v>
      </c>
      <c r="N3" s="15" t="s">
        <v>24</v>
      </c>
      <c r="O3" s="15" t="s">
        <v>25</v>
      </c>
      <c r="P3" s="15" t="s">
        <v>26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/>
      <c r="Y3" s="2" t="s">
        <v>5</v>
      </c>
      <c r="Z3" s="2" t="s">
        <v>6</v>
      </c>
      <c r="AA3" s="2" t="s">
        <v>7</v>
      </c>
      <c r="AB3" s="2" t="s">
        <v>8</v>
      </c>
      <c r="AC3" s="2" t="s">
        <v>9</v>
      </c>
      <c r="AD3" s="2" t="s">
        <v>10</v>
      </c>
      <c r="AE3" s="2"/>
      <c r="AF3" s="2" t="s">
        <v>5</v>
      </c>
      <c r="AG3" s="2" t="s">
        <v>6</v>
      </c>
      <c r="AH3" s="2" t="s">
        <v>7</v>
      </c>
      <c r="AI3" s="2" t="s">
        <v>8</v>
      </c>
      <c r="AJ3" s="2" t="s">
        <v>9</v>
      </c>
      <c r="AK3" s="2" t="s">
        <v>10</v>
      </c>
    </row>
    <row r="4" spans="2:37" x14ac:dyDescent="0.25">
      <c r="B4" s="1">
        <v>12</v>
      </c>
      <c r="C4" s="1">
        <v>5</v>
      </c>
      <c r="D4" s="1">
        <v>30</v>
      </c>
      <c r="E4" s="19">
        <v>0.87572775670717218</v>
      </c>
      <c r="F4" s="19">
        <v>6.4580801618230058E-2</v>
      </c>
      <c r="G4" s="19">
        <v>0.36458286661098216</v>
      </c>
      <c r="H4" s="19">
        <v>8.1976266082403701E-2</v>
      </c>
      <c r="I4" s="19">
        <v>0.91452637364719502</v>
      </c>
      <c r="J4" s="19">
        <v>0.15374316938385338</v>
      </c>
      <c r="K4" s="19">
        <v>0.43812142446718233</v>
      </c>
      <c r="L4" s="19">
        <v>0.12479535570433783</v>
      </c>
      <c r="M4" s="19">
        <v>1.0932641375522862</v>
      </c>
      <c r="N4" s="19">
        <v>0.27912282553681877</v>
      </c>
      <c r="O4" s="19">
        <v>0.570086105411443</v>
      </c>
      <c r="P4" s="19">
        <v>0.16781254339223897</v>
      </c>
      <c r="R4" s="16">
        <f>E4-F4</f>
        <v>0.81114695508894208</v>
      </c>
      <c r="S4" s="16">
        <f>E4-G4</f>
        <v>0.51114489009619002</v>
      </c>
      <c r="T4" s="16">
        <f>E4-H4</f>
        <v>0.79375149062476846</v>
      </c>
      <c r="U4" s="16">
        <f>F4-G4</f>
        <v>-0.30000206499275212</v>
      </c>
      <c r="V4" s="16">
        <f>F4-H4</f>
        <v>-1.7395464464173643E-2</v>
      </c>
      <c r="W4" s="16">
        <f>G4-H4</f>
        <v>0.28260660052857844</v>
      </c>
      <c r="X4" s="16"/>
      <c r="Y4" s="16">
        <f>I4-J4</f>
        <v>0.76078320426334167</v>
      </c>
      <c r="Z4" s="16">
        <f>I4-K4</f>
        <v>0.47640494918001269</v>
      </c>
      <c r="AA4" s="16">
        <f>I4-L4</f>
        <v>0.78973101794285716</v>
      </c>
      <c r="AB4" s="16">
        <f>J4-K4</f>
        <v>-0.28437825508332892</v>
      </c>
      <c r="AC4" s="16">
        <f>J4-L4</f>
        <v>2.8947813679515544E-2</v>
      </c>
      <c r="AD4" s="16">
        <f>K4-L4</f>
        <v>0.31332606876284452</v>
      </c>
      <c r="AE4" s="16"/>
      <c r="AF4" s="16">
        <f>M4-N4</f>
        <v>0.81414131201546747</v>
      </c>
      <c r="AG4" s="16">
        <f>M4-O4</f>
        <v>0.52317803214084324</v>
      </c>
      <c r="AH4" s="16">
        <f>M4-P4</f>
        <v>0.9254515941600473</v>
      </c>
      <c r="AI4" s="16">
        <f>N4-O4</f>
        <v>-0.29096327987462423</v>
      </c>
      <c r="AJ4" s="16">
        <f>N4-P4</f>
        <v>0.1113102821445798</v>
      </c>
      <c r="AK4" s="16">
        <f>O4-P4</f>
        <v>0.40227356201920406</v>
      </c>
    </row>
    <row r="5" spans="2:37" x14ac:dyDescent="0.25">
      <c r="B5" s="1">
        <v>12</v>
      </c>
      <c r="C5" s="1">
        <v>5</v>
      </c>
      <c r="D5" s="1">
        <v>40</v>
      </c>
      <c r="E5" s="19">
        <v>0.91101892333861156</v>
      </c>
      <c r="F5" s="19">
        <v>9.556072761169572E-2</v>
      </c>
      <c r="G5" s="19">
        <v>0.42537678740014007</v>
      </c>
      <c r="H5" s="19">
        <v>0.19401071111518328</v>
      </c>
      <c r="I5" s="19">
        <v>0.92674313790899365</v>
      </c>
      <c r="J5" s="19">
        <v>8.0036903634766093E-2</v>
      </c>
      <c r="K5" s="19">
        <v>0.41543799995374109</v>
      </c>
      <c r="L5" s="19">
        <v>0.12961709298737734</v>
      </c>
      <c r="M5" s="19">
        <v>0.96250928217478049</v>
      </c>
      <c r="N5" s="19">
        <v>0.11504191420103035</v>
      </c>
      <c r="O5" s="19">
        <v>0.46438692761537154</v>
      </c>
      <c r="P5" s="19">
        <v>0.14172212622029443</v>
      </c>
      <c r="R5" s="16">
        <f t="shared" ref="R5:R30" si="0">E5-F5</f>
        <v>0.8154581957269158</v>
      </c>
      <c r="S5" s="16">
        <f t="shared" ref="S5:S30" si="1">E5-G5</f>
        <v>0.4856421359384715</v>
      </c>
      <c r="T5" s="16">
        <f t="shared" ref="T5:T30" si="2">E5-H5</f>
        <v>0.71700821222342825</v>
      </c>
      <c r="U5" s="16">
        <f t="shared" ref="U5:U30" si="3">F5-G5</f>
        <v>-0.32981605978844436</v>
      </c>
      <c r="V5" s="16">
        <f t="shared" ref="V5:V30" si="4">F5-H5</f>
        <v>-9.8449983503487562E-2</v>
      </c>
      <c r="W5" s="16">
        <f t="shared" ref="W5:W30" si="5">G5-H5</f>
        <v>0.23136607628495678</v>
      </c>
      <c r="X5" s="16"/>
      <c r="Y5" s="16">
        <f t="shared" ref="Y5:Y30" si="6">I5-J5</f>
        <v>0.84670623427422753</v>
      </c>
      <c r="Z5" s="16">
        <f t="shared" ref="Z5:Z30" si="7">I5-K5</f>
        <v>0.51130513795525256</v>
      </c>
      <c r="AA5" s="16">
        <f t="shared" ref="AA5:AA30" si="8">I5-L5</f>
        <v>0.79712604492161632</v>
      </c>
      <c r="AB5" s="16">
        <f t="shared" ref="AB5:AB30" si="9">J5-K5</f>
        <v>-0.33540109631897497</v>
      </c>
      <c r="AC5" s="16">
        <f t="shared" ref="AC5:AC30" si="10">J5-L5</f>
        <v>-4.9580189352611242E-2</v>
      </c>
      <c r="AD5" s="16">
        <f t="shared" ref="AD5:AD30" si="11">K5-L5</f>
        <v>0.28582090696636375</v>
      </c>
      <c r="AE5" s="16"/>
      <c r="AF5" s="16">
        <f t="shared" ref="AF5:AF30" si="12">M5-N5</f>
        <v>0.84746736797375011</v>
      </c>
      <c r="AG5" s="16">
        <f t="shared" ref="AG5:AG30" si="13">M5-O5</f>
        <v>0.49812235455940895</v>
      </c>
      <c r="AH5" s="16">
        <f t="shared" ref="AH5:AH30" si="14">M5-P5</f>
        <v>0.82078715595448604</v>
      </c>
      <c r="AI5" s="16">
        <f t="shared" ref="AI5:AI30" si="15">N5-O5</f>
        <v>-0.34934501341434121</v>
      </c>
      <c r="AJ5" s="16">
        <f t="shared" ref="AJ5:AJ30" si="16">N5-P5</f>
        <v>-2.6680212019264071E-2</v>
      </c>
      <c r="AK5" s="16">
        <f t="shared" ref="AK5:AK30" si="17">O5-P5</f>
        <v>0.32266480139507714</v>
      </c>
    </row>
    <row r="6" spans="2:37" x14ac:dyDescent="0.25">
      <c r="B6" s="1">
        <v>12</v>
      </c>
      <c r="C6" s="1">
        <v>5</v>
      </c>
      <c r="D6" s="1">
        <v>50</v>
      </c>
      <c r="E6" s="19">
        <v>0.96995131689644987</v>
      </c>
      <c r="F6" s="19">
        <v>7.9278159948182395E-2</v>
      </c>
      <c r="G6" s="19">
        <v>0.49977131306057287</v>
      </c>
      <c r="H6" s="19">
        <v>0.10177560902097105</v>
      </c>
      <c r="I6" s="19">
        <v>1.0310714362174647</v>
      </c>
      <c r="J6" s="19">
        <v>6.9484477287319574E-2</v>
      </c>
      <c r="K6" s="19">
        <v>0.43098423681683096</v>
      </c>
      <c r="L6" s="19">
        <v>0.1216832089755145</v>
      </c>
      <c r="M6" s="19">
        <v>0.97902353945294363</v>
      </c>
      <c r="N6" s="19">
        <v>8.1873521274876654E-2</v>
      </c>
      <c r="O6" s="19">
        <v>0.53683530850475325</v>
      </c>
      <c r="P6" s="19">
        <v>0.10822642775858908</v>
      </c>
      <c r="R6" s="16">
        <f t="shared" si="0"/>
        <v>0.89067315694826743</v>
      </c>
      <c r="S6" s="16">
        <f t="shared" si="1"/>
        <v>0.47018000383587699</v>
      </c>
      <c r="T6" s="16">
        <f t="shared" si="2"/>
        <v>0.86817570787547882</v>
      </c>
      <c r="U6" s="16">
        <f t="shared" si="3"/>
        <v>-0.42049315311239049</v>
      </c>
      <c r="V6" s="16">
        <f t="shared" si="4"/>
        <v>-2.2497449072788653E-2</v>
      </c>
      <c r="W6" s="16">
        <f t="shared" si="5"/>
        <v>0.39799570403960183</v>
      </c>
      <c r="X6" s="16"/>
      <c r="Y6" s="16">
        <f t="shared" si="6"/>
        <v>0.96158695893014512</v>
      </c>
      <c r="Z6" s="16">
        <f t="shared" si="7"/>
        <v>0.60008719940063371</v>
      </c>
      <c r="AA6" s="16">
        <f t="shared" si="8"/>
        <v>0.90938822724195012</v>
      </c>
      <c r="AB6" s="16">
        <f t="shared" si="9"/>
        <v>-0.36149975952951141</v>
      </c>
      <c r="AC6" s="16">
        <f t="shared" si="10"/>
        <v>-5.219873168819493E-2</v>
      </c>
      <c r="AD6" s="16">
        <f t="shared" si="11"/>
        <v>0.30930102784131647</v>
      </c>
      <c r="AE6" s="16"/>
      <c r="AF6" s="16">
        <f t="shared" si="12"/>
        <v>0.89715001817806694</v>
      </c>
      <c r="AG6" s="16">
        <f t="shared" si="13"/>
        <v>0.44218823094819038</v>
      </c>
      <c r="AH6" s="16">
        <f t="shared" si="14"/>
        <v>0.87079711169435459</v>
      </c>
      <c r="AI6" s="16">
        <f t="shared" si="15"/>
        <v>-0.45496178722987657</v>
      </c>
      <c r="AJ6" s="16">
        <f t="shared" si="16"/>
        <v>-2.6352906483712427E-2</v>
      </c>
      <c r="AK6" s="16">
        <f t="shared" si="17"/>
        <v>0.42860888074616416</v>
      </c>
    </row>
    <row r="7" spans="2:37" x14ac:dyDescent="0.25">
      <c r="B7" s="1">
        <v>12</v>
      </c>
      <c r="C7" s="1">
        <v>10</v>
      </c>
      <c r="D7" s="1">
        <v>30</v>
      </c>
      <c r="E7" s="19">
        <v>0.90573933836415355</v>
      </c>
      <c r="F7" s="19">
        <v>0.16468537080157367</v>
      </c>
      <c r="G7" s="19">
        <v>0.33061822953734482</v>
      </c>
      <c r="H7" s="19">
        <v>5.0341375964452914E-2</v>
      </c>
      <c r="I7" s="19">
        <v>1.012629798287574</v>
      </c>
      <c r="J7" s="19">
        <v>0.25295245381256543</v>
      </c>
      <c r="K7" s="19">
        <v>0.5535039444060128</v>
      </c>
      <c r="L7" s="19">
        <v>0.10158976215940582</v>
      </c>
      <c r="M7" s="19">
        <v>0.97268521942365227</v>
      </c>
      <c r="N7" s="19">
        <v>0.25551606447955921</v>
      </c>
      <c r="O7" s="19">
        <v>0.43992147400238213</v>
      </c>
      <c r="P7" s="19">
        <v>0.13063615924027053</v>
      </c>
      <c r="R7" s="16">
        <f t="shared" si="0"/>
        <v>0.74105396756257991</v>
      </c>
      <c r="S7" s="16">
        <f t="shared" si="1"/>
        <v>0.57512110882680867</v>
      </c>
      <c r="T7" s="16">
        <f t="shared" si="2"/>
        <v>0.85539796239970067</v>
      </c>
      <c r="U7" s="16">
        <f t="shared" si="3"/>
        <v>-0.16593285873577115</v>
      </c>
      <c r="V7" s="16">
        <f t="shared" si="4"/>
        <v>0.11434399483712075</v>
      </c>
      <c r="W7" s="16">
        <f t="shared" si="5"/>
        <v>0.28027685357289189</v>
      </c>
      <c r="X7" s="16"/>
      <c r="Y7" s="16">
        <f t="shared" si="6"/>
        <v>0.75967734447500868</v>
      </c>
      <c r="Z7" s="16">
        <f t="shared" si="7"/>
        <v>0.45912585388156124</v>
      </c>
      <c r="AA7" s="16">
        <f t="shared" si="8"/>
        <v>0.9110400361281682</v>
      </c>
      <c r="AB7" s="16">
        <f t="shared" si="9"/>
        <v>-0.30055149059344738</v>
      </c>
      <c r="AC7" s="16">
        <f t="shared" si="10"/>
        <v>0.1513626916531596</v>
      </c>
      <c r="AD7" s="16">
        <f t="shared" si="11"/>
        <v>0.45191418224660695</v>
      </c>
      <c r="AE7" s="16"/>
      <c r="AF7" s="16">
        <f t="shared" si="12"/>
        <v>0.71716915494409306</v>
      </c>
      <c r="AG7" s="16">
        <f t="shared" si="13"/>
        <v>0.53276374542127014</v>
      </c>
      <c r="AH7" s="16">
        <f t="shared" si="14"/>
        <v>0.84204906018338177</v>
      </c>
      <c r="AI7" s="16">
        <f t="shared" si="15"/>
        <v>-0.18440540952282292</v>
      </c>
      <c r="AJ7" s="16">
        <f t="shared" si="16"/>
        <v>0.12487990523928869</v>
      </c>
      <c r="AK7" s="16">
        <f t="shared" si="17"/>
        <v>0.30928531476211163</v>
      </c>
    </row>
    <row r="8" spans="2:37" x14ac:dyDescent="0.25">
      <c r="B8" s="1">
        <v>12</v>
      </c>
      <c r="C8" s="1">
        <v>10</v>
      </c>
      <c r="D8" s="1">
        <v>40</v>
      </c>
      <c r="E8" s="19">
        <v>0.88898785854942819</v>
      </c>
      <c r="F8" s="19">
        <v>0.10931348542767334</v>
      </c>
      <c r="G8" s="19">
        <v>0.34556794511752792</v>
      </c>
      <c r="H8" s="19">
        <v>0.13180651171204774</v>
      </c>
      <c r="I8" s="19">
        <v>1.081944645399102</v>
      </c>
      <c r="J8" s="19">
        <v>0.10870973746963217</v>
      </c>
      <c r="K8" s="19">
        <v>0.43242705594156128</v>
      </c>
      <c r="L8" s="19">
        <v>0.10035498343651786</v>
      </c>
      <c r="M8" s="19">
        <v>0.96359576360469978</v>
      </c>
      <c r="N8" s="19">
        <v>9.1118696865973389E-2</v>
      </c>
      <c r="O8" s="19">
        <v>0.38330033090951521</v>
      </c>
      <c r="P8" s="19">
        <v>0.10501300092339194</v>
      </c>
      <c r="R8" s="16">
        <f t="shared" si="0"/>
        <v>0.7796743731217548</v>
      </c>
      <c r="S8" s="16">
        <f t="shared" si="1"/>
        <v>0.54341991343190021</v>
      </c>
      <c r="T8" s="16">
        <f t="shared" si="2"/>
        <v>0.75718134683738048</v>
      </c>
      <c r="U8" s="16">
        <f t="shared" si="3"/>
        <v>-0.23625445968985459</v>
      </c>
      <c r="V8" s="16">
        <f t="shared" si="4"/>
        <v>-2.2493026284374398E-2</v>
      </c>
      <c r="W8" s="16">
        <f t="shared" si="5"/>
        <v>0.21376143340548018</v>
      </c>
      <c r="X8" s="16"/>
      <c r="Y8" s="16">
        <f t="shared" si="6"/>
        <v>0.97323490792946976</v>
      </c>
      <c r="Z8" s="16">
        <f t="shared" si="7"/>
        <v>0.64951758945754068</v>
      </c>
      <c r="AA8" s="16">
        <f t="shared" si="8"/>
        <v>0.98158966196258413</v>
      </c>
      <c r="AB8" s="16">
        <f t="shared" si="9"/>
        <v>-0.32371731847192908</v>
      </c>
      <c r="AC8" s="16">
        <f t="shared" si="10"/>
        <v>8.3547540331143089E-3</v>
      </c>
      <c r="AD8" s="16">
        <f t="shared" si="11"/>
        <v>0.33207207250504345</v>
      </c>
      <c r="AE8" s="16"/>
      <c r="AF8" s="16">
        <f t="shared" si="12"/>
        <v>0.87247706673872638</v>
      </c>
      <c r="AG8" s="16">
        <f t="shared" si="13"/>
        <v>0.58029543269518458</v>
      </c>
      <c r="AH8" s="16">
        <f t="shared" si="14"/>
        <v>0.85858276268130784</v>
      </c>
      <c r="AI8" s="16">
        <f t="shared" si="15"/>
        <v>-0.2921816340435418</v>
      </c>
      <c r="AJ8" s="16">
        <f t="shared" si="16"/>
        <v>-1.3894304057418552E-2</v>
      </c>
      <c r="AK8" s="16">
        <f t="shared" si="17"/>
        <v>0.27828732998612327</v>
      </c>
    </row>
    <row r="9" spans="2:37" x14ac:dyDescent="0.25">
      <c r="B9" s="1">
        <v>12</v>
      </c>
      <c r="C9" s="1">
        <v>10</v>
      </c>
      <c r="D9" s="1">
        <v>50</v>
      </c>
      <c r="E9" s="19">
        <v>0.9140925149266883</v>
      </c>
      <c r="F9" s="19">
        <v>7.4022462567278444E-2</v>
      </c>
      <c r="G9" s="19">
        <v>0.32540093069099046</v>
      </c>
      <c r="H9" s="19">
        <v>3.2889142786709923E-2</v>
      </c>
      <c r="I9" s="19">
        <v>1.0297003949957684</v>
      </c>
      <c r="J9" s="19">
        <v>0.16250219499226906</v>
      </c>
      <c r="K9" s="19">
        <v>0.40158658568274419</v>
      </c>
      <c r="L9" s="19">
        <v>0.122203007524976</v>
      </c>
      <c r="M9" s="19">
        <v>0.99264846672501716</v>
      </c>
      <c r="N9" s="19">
        <v>0.12441214794434075</v>
      </c>
      <c r="O9" s="19">
        <v>0.45816257665386362</v>
      </c>
      <c r="P9" s="19">
        <v>0.15862536021091489</v>
      </c>
      <c r="R9" s="16">
        <f t="shared" si="0"/>
        <v>0.8400700523594099</v>
      </c>
      <c r="S9" s="16">
        <f t="shared" si="1"/>
        <v>0.5886915842356979</v>
      </c>
      <c r="T9" s="16">
        <f t="shared" si="2"/>
        <v>0.88120337213997835</v>
      </c>
      <c r="U9" s="16">
        <f t="shared" si="3"/>
        <v>-0.25137846812371201</v>
      </c>
      <c r="V9" s="16">
        <f t="shared" si="4"/>
        <v>4.1133319780568521E-2</v>
      </c>
      <c r="W9" s="16">
        <f t="shared" si="5"/>
        <v>0.29251178790428056</v>
      </c>
      <c r="X9" s="16"/>
      <c r="Y9" s="16">
        <f t="shared" si="6"/>
        <v>0.86719820000349934</v>
      </c>
      <c r="Z9" s="16">
        <f t="shared" si="7"/>
        <v>0.62811380931302419</v>
      </c>
      <c r="AA9" s="16">
        <f t="shared" si="8"/>
        <v>0.90749738747079234</v>
      </c>
      <c r="AB9" s="16">
        <f t="shared" si="9"/>
        <v>-0.23908439069047513</v>
      </c>
      <c r="AC9" s="16">
        <f t="shared" si="10"/>
        <v>4.0299187467293066E-2</v>
      </c>
      <c r="AD9" s="16">
        <f t="shared" si="11"/>
        <v>0.27938357815776821</v>
      </c>
      <c r="AE9" s="16"/>
      <c r="AF9" s="16">
        <f t="shared" si="12"/>
        <v>0.86823631878067642</v>
      </c>
      <c r="AG9" s="16">
        <f t="shared" si="13"/>
        <v>0.53448589007115355</v>
      </c>
      <c r="AH9" s="16">
        <f t="shared" si="14"/>
        <v>0.83402310651410227</v>
      </c>
      <c r="AI9" s="16">
        <f t="shared" si="15"/>
        <v>-0.33375042870952287</v>
      </c>
      <c r="AJ9" s="16">
        <f t="shared" si="16"/>
        <v>-3.4213212266574144E-2</v>
      </c>
      <c r="AK9" s="16">
        <f t="shared" si="17"/>
        <v>0.29953721644294873</v>
      </c>
    </row>
    <row r="10" spans="2:37" x14ac:dyDescent="0.25">
      <c r="B10" s="1">
        <v>12</v>
      </c>
      <c r="C10" s="1">
        <v>15</v>
      </c>
      <c r="D10" s="1">
        <v>30</v>
      </c>
      <c r="E10" s="19">
        <v>0.9232155628836306</v>
      </c>
      <c r="F10" s="19">
        <v>0.27743826415112427</v>
      </c>
      <c r="G10" s="19">
        <v>0.35859571170966287</v>
      </c>
      <c r="H10" s="19">
        <v>8.381313148404855E-2</v>
      </c>
      <c r="I10" s="19">
        <v>0.95402926350676387</v>
      </c>
      <c r="J10" s="19">
        <v>0.28957975330102909</v>
      </c>
      <c r="K10" s="19">
        <v>0.31609595021403752</v>
      </c>
      <c r="L10" s="19">
        <v>6.0743352775081361E-2</v>
      </c>
      <c r="M10" s="19">
        <v>0.98485536514442162</v>
      </c>
      <c r="N10" s="19">
        <v>0.20294082627835267</v>
      </c>
      <c r="O10" s="19">
        <v>0.32330974864302531</v>
      </c>
      <c r="P10" s="19">
        <v>9.0767335044007302E-2</v>
      </c>
      <c r="R10" s="16">
        <f t="shared" si="0"/>
        <v>0.64577729873250633</v>
      </c>
      <c r="S10" s="16">
        <f t="shared" si="1"/>
        <v>0.56461985117396774</v>
      </c>
      <c r="T10" s="16">
        <f t="shared" si="2"/>
        <v>0.83940243139958204</v>
      </c>
      <c r="U10" s="16">
        <f t="shared" si="3"/>
        <v>-8.1157447558538598E-2</v>
      </c>
      <c r="V10" s="16">
        <f t="shared" si="4"/>
        <v>0.19362513266707571</v>
      </c>
      <c r="W10" s="16">
        <f t="shared" si="5"/>
        <v>0.2747825802256143</v>
      </c>
      <c r="X10" s="16"/>
      <c r="Y10" s="16">
        <f t="shared" si="6"/>
        <v>0.66444951020573484</v>
      </c>
      <c r="Z10" s="16">
        <f t="shared" si="7"/>
        <v>0.63793331329272629</v>
      </c>
      <c r="AA10" s="16">
        <f t="shared" si="8"/>
        <v>0.89328591073168251</v>
      </c>
      <c r="AB10" s="16">
        <f t="shared" si="9"/>
        <v>-2.6516196913008439E-2</v>
      </c>
      <c r="AC10" s="16">
        <f t="shared" si="10"/>
        <v>0.22883640052594773</v>
      </c>
      <c r="AD10" s="16">
        <f t="shared" si="11"/>
        <v>0.25535259743895616</v>
      </c>
      <c r="AE10" s="16"/>
      <c r="AF10" s="16">
        <f t="shared" si="12"/>
        <v>0.78191453886606899</v>
      </c>
      <c r="AG10" s="16">
        <f t="shared" si="13"/>
        <v>0.66154561650139632</v>
      </c>
      <c r="AH10" s="16">
        <f t="shared" si="14"/>
        <v>0.89408803010041438</v>
      </c>
      <c r="AI10" s="16">
        <f t="shared" si="15"/>
        <v>-0.12036892236467264</v>
      </c>
      <c r="AJ10" s="16">
        <f t="shared" si="16"/>
        <v>0.11217349123434536</v>
      </c>
      <c r="AK10" s="16">
        <f t="shared" si="17"/>
        <v>0.23254241359901801</v>
      </c>
    </row>
    <row r="11" spans="2:37" x14ac:dyDescent="0.25">
      <c r="B11" s="1">
        <v>12</v>
      </c>
      <c r="C11" s="1">
        <v>15</v>
      </c>
      <c r="D11" s="1">
        <v>40</v>
      </c>
      <c r="E11" s="19">
        <v>0.86304135463228637</v>
      </c>
      <c r="F11" s="19">
        <v>0.12830163547940895</v>
      </c>
      <c r="G11" s="19">
        <v>0.30301565184522655</v>
      </c>
      <c r="H11" s="19">
        <v>3.6327920803794531E-2</v>
      </c>
      <c r="I11" s="19">
        <v>0.90923604134802571</v>
      </c>
      <c r="J11" s="19">
        <v>0.18028758521192947</v>
      </c>
      <c r="K11" s="19">
        <v>0.38931214618367338</v>
      </c>
      <c r="L11" s="19">
        <v>5.0591224423377476E-2</v>
      </c>
      <c r="M11" s="19">
        <v>1.0576918264630681</v>
      </c>
      <c r="N11" s="19">
        <v>0.20053805156582874</v>
      </c>
      <c r="O11" s="19">
        <v>0.44955987063798997</v>
      </c>
      <c r="P11" s="19">
        <v>8.460738882428448E-2</v>
      </c>
      <c r="R11" s="16">
        <f t="shared" si="0"/>
        <v>0.73473971915287739</v>
      </c>
      <c r="S11" s="16">
        <f t="shared" si="1"/>
        <v>0.56002570278705988</v>
      </c>
      <c r="T11" s="16">
        <f t="shared" si="2"/>
        <v>0.82671343382849183</v>
      </c>
      <c r="U11" s="16">
        <f t="shared" si="3"/>
        <v>-0.1747140163658176</v>
      </c>
      <c r="V11" s="16">
        <f t="shared" si="4"/>
        <v>9.1973714675614424E-2</v>
      </c>
      <c r="W11" s="16">
        <f t="shared" si="5"/>
        <v>0.26668773104143201</v>
      </c>
      <c r="X11" s="16"/>
      <c r="Y11" s="16">
        <f t="shared" si="6"/>
        <v>0.72894845613609627</v>
      </c>
      <c r="Z11" s="16">
        <f t="shared" si="7"/>
        <v>0.51992389516435233</v>
      </c>
      <c r="AA11" s="16">
        <f t="shared" si="8"/>
        <v>0.85864481692464822</v>
      </c>
      <c r="AB11" s="16">
        <f t="shared" si="9"/>
        <v>-0.20902456097174391</v>
      </c>
      <c r="AC11" s="16">
        <f t="shared" si="10"/>
        <v>0.12969636078855201</v>
      </c>
      <c r="AD11" s="16">
        <f t="shared" si="11"/>
        <v>0.33872092176029589</v>
      </c>
      <c r="AE11" s="16"/>
      <c r="AF11" s="16">
        <f t="shared" si="12"/>
        <v>0.85715377489723943</v>
      </c>
      <c r="AG11" s="16">
        <f t="shared" si="13"/>
        <v>0.60813195582507817</v>
      </c>
      <c r="AH11" s="16">
        <f t="shared" si="14"/>
        <v>0.97308443763878372</v>
      </c>
      <c r="AI11" s="16">
        <f t="shared" si="15"/>
        <v>-0.24902181907216123</v>
      </c>
      <c r="AJ11" s="16">
        <f t="shared" si="16"/>
        <v>0.11593066274154426</v>
      </c>
      <c r="AK11" s="16">
        <f t="shared" si="17"/>
        <v>0.36495248181370549</v>
      </c>
    </row>
    <row r="12" spans="2:37" x14ac:dyDescent="0.25">
      <c r="B12" s="1">
        <v>12</v>
      </c>
      <c r="C12" s="1">
        <v>15</v>
      </c>
      <c r="D12" s="1">
        <v>50</v>
      </c>
      <c r="E12" s="19">
        <v>0.90758312810189656</v>
      </c>
      <c r="F12" s="19">
        <v>0.1153895491977445</v>
      </c>
      <c r="G12" s="19">
        <v>0.30166985974755639</v>
      </c>
      <c r="H12" s="19">
        <v>5.1435400011003538E-2</v>
      </c>
      <c r="I12" s="19">
        <v>0.89206226033912639</v>
      </c>
      <c r="J12" s="19">
        <v>0.11896760329970171</v>
      </c>
      <c r="K12" s="19">
        <v>0.31829205148968825</v>
      </c>
      <c r="L12" s="19">
        <v>0.1034472264438914</v>
      </c>
      <c r="M12" s="19">
        <v>0.98221956346272532</v>
      </c>
      <c r="N12" s="19">
        <v>0.14181507129019261</v>
      </c>
      <c r="O12" s="19">
        <v>0.37019556313489527</v>
      </c>
      <c r="P12" s="19">
        <v>7.2724842280468174E-2</v>
      </c>
      <c r="R12" s="16">
        <f t="shared" si="0"/>
        <v>0.7921935789041521</v>
      </c>
      <c r="S12" s="16">
        <f t="shared" si="1"/>
        <v>0.60591326835434023</v>
      </c>
      <c r="T12" s="16">
        <f t="shared" si="2"/>
        <v>0.85614772809089301</v>
      </c>
      <c r="U12" s="16">
        <f t="shared" si="3"/>
        <v>-0.18628031054981189</v>
      </c>
      <c r="V12" s="16">
        <f t="shared" si="4"/>
        <v>6.3954149186740958E-2</v>
      </c>
      <c r="W12" s="16">
        <f t="shared" si="5"/>
        <v>0.25023445973655284</v>
      </c>
      <c r="X12" s="16"/>
      <c r="Y12" s="16">
        <f t="shared" si="6"/>
        <v>0.7730946570394247</v>
      </c>
      <c r="Z12" s="16">
        <f t="shared" si="7"/>
        <v>0.57377020884943808</v>
      </c>
      <c r="AA12" s="16">
        <f t="shared" si="8"/>
        <v>0.78861503389523502</v>
      </c>
      <c r="AB12" s="16">
        <f t="shared" si="9"/>
        <v>-0.19932444818998654</v>
      </c>
      <c r="AC12" s="16">
        <f t="shared" si="10"/>
        <v>1.5520376855810314E-2</v>
      </c>
      <c r="AD12" s="16">
        <f t="shared" si="11"/>
        <v>0.21484482504579686</v>
      </c>
      <c r="AE12" s="16"/>
      <c r="AF12" s="16">
        <f t="shared" si="12"/>
        <v>0.84040449217253266</v>
      </c>
      <c r="AG12" s="16">
        <f t="shared" si="13"/>
        <v>0.61202400032783011</v>
      </c>
      <c r="AH12" s="16">
        <f t="shared" si="14"/>
        <v>0.90949472118225716</v>
      </c>
      <c r="AI12" s="16">
        <f t="shared" si="15"/>
        <v>-0.22838049184470266</v>
      </c>
      <c r="AJ12" s="16">
        <f t="shared" si="16"/>
        <v>6.9090229009724433E-2</v>
      </c>
      <c r="AK12" s="16">
        <f t="shared" si="17"/>
        <v>0.29747072085442711</v>
      </c>
    </row>
    <row r="13" spans="2:37" x14ac:dyDescent="0.25">
      <c r="B13" s="1">
        <v>16</v>
      </c>
      <c r="C13" s="1">
        <v>5</v>
      </c>
      <c r="D13" s="1">
        <v>30</v>
      </c>
      <c r="E13" s="19">
        <v>0.92656986576676881</v>
      </c>
      <c r="F13" s="19">
        <v>0.10906192355725737</v>
      </c>
      <c r="G13" s="19">
        <v>0.42933754394603785</v>
      </c>
      <c r="H13" s="19">
        <v>0.11302730300088597</v>
      </c>
      <c r="I13" s="19">
        <v>0.84663064671865684</v>
      </c>
      <c r="J13" s="19">
        <v>0.13880378667086984</v>
      </c>
      <c r="K13" s="19">
        <v>0.43655313926153544</v>
      </c>
      <c r="L13" s="19">
        <v>9.4713402577185302E-2</v>
      </c>
      <c r="M13" s="19">
        <v>0.92935799307671374</v>
      </c>
      <c r="N13" s="19">
        <v>0.11195806683522484</v>
      </c>
      <c r="O13" s="19">
        <v>0.47699780305110673</v>
      </c>
      <c r="P13" s="19">
        <v>9.8574201972410541E-2</v>
      </c>
      <c r="R13" s="16">
        <f t="shared" si="0"/>
        <v>0.8175079422095114</v>
      </c>
      <c r="S13" s="16">
        <f t="shared" si="1"/>
        <v>0.49723232182073096</v>
      </c>
      <c r="T13" s="16">
        <f t="shared" si="2"/>
        <v>0.81354256276588288</v>
      </c>
      <c r="U13" s="16">
        <f t="shared" si="3"/>
        <v>-0.32027562038878049</v>
      </c>
      <c r="V13" s="16">
        <f t="shared" si="4"/>
        <v>-3.9653794436285972E-3</v>
      </c>
      <c r="W13" s="16">
        <f t="shared" si="5"/>
        <v>0.31631024094515187</v>
      </c>
      <c r="X13" s="16"/>
      <c r="Y13" s="16">
        <f t="shared" si="6"/>
        <v>0.70782686004778705</v>
      </c>
      <c r="Z13" s="16">
        <f t="shared" si="7"/>
        <v>0.4100775074571214</v>
      </c>
      <c r="AA13" s="16">
        <f t="shared" si="8"/>
        <v>0.75191724414147154</v>
      </c>
      <c r="AB13" s="16">
        <f t="shared" si="9"/>
        <v>-0.29774935259066559</v>
      </c>
      <c r="AC13" s="16">
        <f t="shared" si="10"/>
        <v>4.4090384093684543E-2</v>
      </c>
      <c r="AD13" s="16">
        <f t="shared" si="11"/>
        <v>0.34183973668435014</v>
      </c>
      <c r="AE13" s="16"/>
      <c r="AF13" s="16">
        <f t="shared" si="12"/>
        <v>0.81739992624148894</v>
      </c>
      <c r="AG13" s="16">
        <f t="shared" si="13"/>
        <v>0.45236019002560701</v>
      </c>
      <c r="AH13" s="16">
        <f t="shared" si="14"/>
        <v>0.83078379110430323</v>
      </c>
      <c r="AI13" s="16">
        <f t="shared" si="15"/>
        <v>-0.36503973621588187</v>
      </c>
      <c r="AJ13" s="16">
        <f t="shared" si="16"/>
        <v>1.3383864862814301E-2</v>
      </c>
      <c r="AK13" s="16">
        <f t="shared" si="17"/>
        <v>0.37842360107869621</v>
      </c>
    </row>
    <row r="14" spans="2:37" x14ac:dyDescent="0.25">
      <c r="B14" s="1">
        <v>16</v>
      </c>
      <c r="C14" s="1">
        <v>5</v>
      </c>
      <c r="D14" s="1">
        <v>40</v>
      </c>
      <c r="E14" s="19">
        <v>0.92566217090022174</v>
      </c>
      <c r="F14" s="19">
        <v>0.11005014838619971</v>
      </c>
      <c r="G14" s="19">
        <v>0.3408418604951754</v>
      </c>
      <c r="H14" s="19">
        <v>9.9394096544212732E-2</v>
      </c>
      <c r="I14" s="19">
        <v>0.93757672170591932</v>
      </c>
      <c r="J14" s="19">
        <v>9.702271454803077E-2</v>
      </c>
      <c r="K14" s="19">
        <v>0.41334563220645737</v>
      </c>
      <c r="L14" s="19">
        <v>8.9427332294911635E-2</v>
      </c>
      <c r="M14" s="19">
        <v>0.92656033192990395</v>
      </c>
      <c r="N14" s="19">
        <v>0.14390542303192858</v>
      </c>
      <c r="O14" s="19">
        <v>0.42597294776473033</v>
      </c>
      <c r="P14" s="19">
        <v>0.10102697226177763</v>
      </c>
      <c r="R14" s="16">
        <f t="shared" si="0"/>
        <v>0.81561202251402198</v>
      </c>
      <c r="S14" s="16">
        <f t="shared" si="1"/>
        <v>0.58482031040504634</v>
      </c>
      <c r="T14" s="16">
        <f t="shared" si="2"/>
        <v>0.82626807435600902</v>
      </c>
      <c r="U14" s="16">
        <f t="shared" si="3"/>
        <v>-0.2307917121089757</v>
      </c>
      <c r="V14" s="16">
        <f t="shared" si="4"/>
        <v>1.065605184198698E-2</v>
      </c>
      <c r="W14" s="16">
        <f t="shared" si="5"/>
        <v>0.24144776395096268</v>
      </c>
      <c r="X14" s="16"/>
      <c r="Y14" s="16">
        <f t="shared" si="6"/>
        <v>0.84055400715788853</v>
      </c>
      <c r="Z14" s="16">
        <f t="shared" si="7"/>
        <v>0.52423108949946196</v>
      </c>
      <c r="AA14" s="16">
        <f t="shared" si="8"/>
        <v>0.8481493894110077</v>
      </c>
      <c r="AB14" s="16">
        <f t="shared" si="9"/>
        <v>-0.31632291765842657</v>
      </c>
      <c r="AC14" s="16">
        <f t="shared" si="10"/>
        <v>7.5953822531191345E-3</v>
      </c>
      <c r="AD14" s="16">
        <f t="shared" si="11"/>
        <v>0.32391829991154575</v>
      </c>
      <c r="AE14" s="16"/>
      <c r="AF14" s="16">
        <f t="shared" si="12"/>
        <v>0.7826549088979754</v>
      </c>
      <c r="AG14" s="16">
        <f t="shared" si="13"/>
        <v>0.50058738416517357</v>
      </c>
      <c r="AH14" s="16">
        <f t="shared" si="14"/>
        <v>0.82553335966812635</v>
      </c>
      <c r="AI14" s="16">
        <f t="shared" si="15"/>
        <v>-0.28206752473280172</v>
      </c>
      <c r="AJ14" s="16">
        <f t="shared" si="16"/>
        <v>4.2878450770150942E-2</v>
      </c>
      <c r="AK14" s="16">
        <f t="shared" si="17"/>
        <v>0.32494597550295268</v>
      </c>
    </row>
    <row r="15" spans="2:37" x14ac:dyDescent="0.25">
      <c r="B15" s="1">
        <v>16</v>
      </c>
      <c r="C15" s="1">
        <v>5</v>
      </c>
      <c r="D15" s="1">
        <v>50</v>
      </c>
      <c r="E15" s="19">
        <v>0.90580624619265571</v>
      </c>
      <c r="F15" s="19">
        <v>7.2511257599227469E-2</v>
      </c>
      <c r="G15" s="19">
        <v>0.47229271369144288</v>
      </c>
      <c r="H15" s="19">
        <v>9.7150228762751784E-2</v>
      </c>
      <c r="I15" s="19">
        <v>0.91170571793016431</v>
      </c>
      <c r="J15" s="19">
        <v>4.631064707017387E-2</v>
      </c>
      <c r="K15" s="19">
        <v>0.42054499693202718</v>
      </c>
      <c r="L15" s="19">
        <v>6.1253032911134153E-2</v>
      </c>
      <c r="M15" s="19">
        <v>0.89102167681923805</v>
      </c>
      <c r="N15" s="19">
        <v>4.8963747644757416E-2</v>
      </c>
      <c r="O15" s="19">
        <v>0.40569144512142002</v>
      </c>
      <c r="P15" s="19">
        <v>0.12624539102534679</v>
      </c>
      <c r="R15" s="16">
        <f t="shared" si="0"/>
        <v>0.83329498859342821</v>
      </c>
      <c r="S15" s="16">
        <f t="shared" si="1"/>
        <v>0.43351353250121283</v>
      </c>
      <c r="T15" s="16">
        <f t="shared" si="2"/>
        <v>0.80865601742990389</v>
      </c>
      <c r="U15" s="16">
        <f t="shared" si="3"/>
        <v>-0.39978145609221538</v>
      </c>
      <c r="V15" s="16">
        <f t="shared" si="4"/>
        <v>-2.4638971163524315E-2</v>
      </c>
      <c r="W15" s="16">
        <f t="shared" si="5"/>
        <v>0.37514248492869107</v>
      </c>
      <c r="X15" s="16"/>
      <c r="Y15" s="16">
        <f t="shared" si="6"/>
        <v>0.86539507085999046</v>
      </c>
      <c r="Z15" s="16">
        <f t="shared" si="7"/>
        <v>0.49116072099813712</v>
      </c>
      <c r="AA15" s="16">
        <f t="shared" si="8"/>
        <v>0.85045268501903015</v>
      </c>
      <c r="AB15" s="16">
        <f t="shared" si="9"/>
        <v>-0.37423434986185333</v>
      </c>
      <c r="AC15" s="16">
        <f t="shared" si="10"/>
        <v>-1.4942385840960283E-2</v>
      </c>
      <c r="AD15" s="16">
        <f t="shared" si="11"/>
        <v>0.35929196402089303</v>
      </c>
      <c r="AE15" s="16"/>
      <c r="AF15" s="16">
        <f t="shared" si="12"/>
        <v>0.84205792917448063</v>
      </c>
      <c r="AG15" s="16">
        <f t="shared" si="13"/>
        <v>0.48533023169781803</v>
      </c>
      <c r="AH15" s="16">
        <f t="shared" si="14"/>
        <v>0.76477628579389123</v>
      </c>
      <c r="AI15" s="16">
        <f t="shared" si="15"/>
        <v>-0.35672769747666261</v>
      </c>
      <c r="AJ15" s="16">
        <f t="shared" si="16"/>
        <v>-7.7281643380589377E-2</v>
      </c>
      <c r="AK15" s="16">
        <f t="shared" si="17"/>
        <v>0.27944605409607326</v>
      </c>
    </row>
    <row r="16" spans="2:37" x14ac:dyDescent="0.25">
      <c r="B16" s="1">
        <v>16</v>
      </c>
      <c r="C16" s="1">
        <v>10</v>
      </c>
      <c r="D16" s="1">
        <v>30</v>
      </c>
      <c r="E16" s="19">
        <v>0.8170751035279803</v>
      </c>
      <c r="F16" s="19">
        <v>0.12545773652725381</v>
      </c>
      <c r="G16" s="19">
        <v>0.33999999055088193</v>
      </c>
      <c r="H16" s="19">
        <v>9.3831194717874739E-2</v>
      </c>
      <c r="I16" s="19">
        <v>0.91587773082416069</v>
      </c>
      <c r="J16" s="19">
        <v>0.12331870409396747</v>
      </c>
      <c r="K16" s="19">
        <v>0.37840560043580074</v>
      </c>
      <c r="L16" s="19">
        <v>0.10515930384164432</v>
      </c>
      <c r="M16" s="19">
        <v>0.96061837753311341</v>
      </c>
      <c r="N16" s="19">
        <v>0.36775124625956623</v>
      </c>
      <c r="O16" s="19">
        <v>0.39361205379319741</v>
      </c>
      <c r="P16" s="19">
        <v>0.17897234431898729</v>
      </c>
      <c r="R16" s="16">
        <f t="shared" si="0"/>
        <v>0.69161736700072651</v>
      </c>
      <c r="S16" s="16">
        <f t="shared" si="1"/>
        <v>0.47707511297709837</v>
      </c>
      <c r="T16" s="16">
        <f t="shared" si="2"/>
        <v>0.72324390881010558</v>
      </c>
      <c r="U16" s="16">
        <f t="shared" si="3"/>
        <v>-0.21454225402362812</v>
      </c>
      <c r="V16" s="16">
        <f t="shared" si="4"/>
        <v>3.1626541809379072E-2</v>
      </c>
      <c r="W16" s="16">
        <f t="shared" si="5"/>
        <v>0.24616879583300719</v>
      </c>
      <c r="X16" s="16"/>
      <c r="Y16" s="16">
        <f t="shared" si="6"/>
        <v>0.79255902673019318</v>
      </c>
      <c r="Z16" s="16">
        <f t="shared" si="7"/>
        <v>0.53747213038835995</v>
      </c>
      <c r="AA16" s="16">
        <f t="shared" si="8"/>
        <v>0.81071842698251639</v>
      </c>
      <c r="AB16" s="16">
        <f t="shared" si="9"/>
        <v>-0.25508689634183324</v>
      </c>
      <c r="AC16" s="16">
        <f t="shared" si="10"/>
        <v>1.8159400252323155E-2</v>
      </c>
      <c r="AD16" s="16">
        <f t="shared" si="11"/>
        <v>0.27324629659415645</v>
      </c>
      <c r="AE16" s="16"/>
      <c r="AF16" s="16">
        <f t="shared" si="12"/>
        <v>0.59286713127354718</v>
      </c>
      <c r="AG16" s="16">
        <f t="shared" si="13"/>
        <v>0.567006323739916</v>
      </c>
      <c r="AH16" s="16">
        <f t="shared" si="14"/>
        <v>0.78164603321412618</v>
      </c>
      <c r="AI16" s="16">
        <f t="shared" si="15"/>
        <v>-2.586080753363118E-2</v>
      </c>
      <c r="AJ16" s="16">
        <f t="shared" si="16"/>
        <v>0.18877890194057895</v>
      </c>
      <c r="AK16" s="16">
        <f t="shared" si="17"/>
        <v>0.21463970947421013</v>
      </c>
    </row>
    <row r="17" spans="2:37" x14ac:dyDescent="0.25">
      <c r="B17" s="1">
        <v>16</v>
      </c>
      <c r="C17" s="1">
        <v>10</v>
      </c>
      <c r="D17" s="1">
        <v>40</v>
      </c>
      <c r="E17" s="19">
        <v>0.93959284543042754</v>
      </c>
      <c r="F17" s="19">
        <v>0.16485796334478883</v>
      </c>
      <c r="G17" s="19">
        <v>0.37696951358855046</v>
      </c>
      <c r="H17" s="19">
        <v>6.1566631927004886E-2</v>
      </c>
      <c r="I17" s="19">
        <v>0.95568352470555562</v>
      </c>
      <c r="J17" s="19">
        <v>0.20538726535591309</v>
      </c>
      <c r="K17" s="19">
        <v>0.38470607552859393</v>
      </c>
      <c r="L17" s="19">
        <v>5.423755747140304E-2</v>
      </c>
      <c r="M17" s="19">
        <v>0.92080128967467922</v>
      </c>
      <c r="N17" s="19">
        <v>0.11731538939944666</v>
      </c>
      <c r="O17" s="19">
        <v>0.37568007678834653</v>
      </c>
      <c r="P17" s="19">
        <v>0.10030406038407007</v>
      </c>
      <c r="R17" s="16">
        <f t="shared" si="0"/>
        <v>0.77473488208563868</v>
      </c>
      <c r="S17" s="16">
        <f t="shared" si="1"/>
        <v>0.56262333184187707</v>
      </c>
      <c r="T17" s="16">
        <f t="shared" si="2"/>
        <v>0.87802621350342269</v>
      </c>
      <c r="U17" s="16">
        <f t="shared" si="3"/>
        <v>-0.21211155024376163</v>
      </c>
      <c r="V17" s="16">
        <f t="shared" si="4"/>
        <v>0.10329133141778395</v>
      </c>
      <c r="W17" s="16">
        <f t="shared" si="5"/>
        <v>0.31540288166154556</v>
      </c>
      <c r="X17" s="16"/>
      <c r="Y17" s="16">
        <f t="shared" si="6"/>
        <v>0.7502962593496425</v>
      </c>
      <c r="Z17" s="16">
        <f t="shared" si="7"/>
        <v>0.57097744917696169</v>
      </c>
      <c r="AA17" s="16">
        <f t="shared" si="8"/>
        <v>0.9014459672341526</v>
      </c>
      <c r="AB17" s="16">
        <f t="shared" si="9"/>
        <v>-0.17931881017268084</v>
      </c>
      <c r="AC17" s="16">
        <f t="shared" si="10"/>
        <v>0.15114970788451004</v>
      </c>
      <c r="AD17" s="16">
        <f t="shared" si="11"/>
        <v>0.33046851805719091</v>
      </c>
      <c r="AE17" s="16"/>
      <c r="AF17" s="16">
        <f t="shared" si="12"/>
        <v>0.80348590027523259</v>
      </c>
      <c r="AG17" s="16">
        <f t="shared" si="13"/>
        <v>0.54512121288633275</v>
      </c>
      <c r="AH17" s="16">
        <f t="shared" si="14"/>
        <v>0.8204972292906092</v>
      </c>
      <c r="AI17" s="16">
        <f t="shared" si="15"/>
        <v>-0.25836468738889984</v>
      </c>
      <c r="AJ17" s="16">
        <f t="shared" si="16"/>
        <v>1.7011329015376594E-2</v>
      </c>
      <c r="AK17" s="16">
        <f t="shared" si="17"/>
        <v>0.27537601640427645</v>
      </c>
    </row>
    <row r="18" spans="2:37" x14ac:dyDescent="0.25">
      <c r="B18" s="1">
        <v>16</v>
      </c>
      <c r="C18" s="1">
        <v>10</v>
      </c>
      <c r="D18" s="1">
        <v>50</v>
      </c>
      <c r="E18" s="19">
        <v>0.91317406986331784</v>
      </c>
      <c r="F18" s="19">
        <v>6.5922218147513298E-2</v>
      </c>
      <c r="G18" s="19">
        <v>0.33110116390906047</v>
      </c>
      <c r="H18" s="19">
        <v>7.2589885387839309E-2</v>
      </c>
      <c r="I18" s="19">
        <v>1.0217599880432719</v>
      </c>
      <c r="J18" s="19">
        <v>0.10392083755562861</v>
      </c>
      <c r="K18" s="19">
        <v>0.43345980215213603</v>
      </c>
      <c r="L18" s="19">
        <v>6.2589776060125585E-2</v>
      </c>
      <c r="M18" s="19">
        <v>0.98222792132479064</v>
      </c>
      <c r="N18" s="19">
        <v>0.15956682478805717</v>
      </c>
      <c r="O18" s="19">
        <v>0.40158195419106385</v>
      </c>
      <c r="P18" s="19">
        <v>9.279807510024532E-2</v>
      </c>
      <c r="R18" s="16">
        <f t="shared" si="0"/>
        <v>0.84725185171580453</v>
      </c>
      <c r="S18" s="16">
        <f t="shared" si="1"/>
        <v>0.58207290595425731</v>
      </c>
      <c r="T18" s="16">
        <f t="shared" si="2"/>
        <v>0.84058418447547856</v>
      </c>
      <c r="U18" s="16">
        <f t="shared" si="3"/>
        <v>-0.26517894576154716</v>
      </c>
      <c r="V18" s="16">
        <f t="shared" si="4"/>
        <v>-6.6676672403260112E-3</v>
      </c>
      <c r="W18" s="16">
        <f t="shared" si="5"/>
        <v>0.25851127852122113</v>
      </c>
      <c r="X18" s="16"/>
      <c r="Y18" s="16">
        <f t="shared" si="6"/>
        <v>0.91783915048764331</v>
      </c>
      <c r="Z18" s="16">
        <f t="shared" si="7"/>
        <v>0.58830018589113586</v>
      </c>
      <c r="AA18" s="16">
        <f t="shared" si="8"/>
        <v>0.95917021198314634</v>
      </c>
      <c r="AB18" s="16">
        <f t="shared" si="9"/>
        <v>-0.32953896459650744</v>
      </c>
      <c r="AC18" s="16">
        <f t="shared" si="10"/>
        <v>4.133106149550303E-2</v>
      </c>
      <c r="AD18" s="16">
        <f t="shared" si="11"/>
        <v>0.37087002609201047</v>
      </c>
      <c r="AE18" s="16"/>
      <c r="AF18" s="16">
        <f t="shared" si="12"/>
        <v>0.82266109653673347</v>
      </c>
      <c r="AG18" s="16">
        <f t="shared" si="13"/>
        <v>0.58064596713372674</v>
      </c>
      <c r="AH18" s="16">
        <f t="shared" si="14"/>
        <v>0.88942984622454535</v>
      </c>
      <c r="AI18" s="16">
        <f t="shared" si="15"/>
        <v>-0.24201512940300668</v>
      </c>
      <c r="AJ18" s="16">
        <f t="shared" si="16"/>
        <v>6.6768749687811851E-2</v>
      </c>
      <c r="AK18" s="16">
        <f t="shared" si="17"/>
        <v>0.3087838790908185</v>
      </c>
    </row>
    <row r="19" spans="2:37" x14ac:dyDescent="0.25">
      <c r="B19" s="1">
        <v>16</v>
      </c>
      <c r="C19" s="1">
        <v>15</v>
      </c>
      <c r="D19" s="1">
        <v>30</v>
      </c>
      <c r="E19" s="19">
        <v>0.90220438568495531</v>
      </c>
      <c r="F19" s="19">
        <v>0.22715621267174568</v>
      </c>
      <c r="G19" s="19">
        <v>0.40777985595775057</v>
      </c>
      <c r="H19" s="19">
        <v>4.0508915781295021E-2</v>
      </c>
      <c r="I19" s="19">
        <v>1.3774588414105298</v>
      </c>
      <c r="J19" s="19">
        <v>0.50705263789961608</v>
      </c>
      <c r="K19" s="19">
        <v>0.50958005909264015</v>
      </c>
      <c r="L19" s="19">
        <v>4.5631406738667037E-2</v>
      </c>
      <c r="M19" s="19">
        <v>0.97822152705858834</v>
      </c>
      <c r="N19" s="19">
        <v>0.27691749314842395</v>
      </c>
      <c r="O19" s="19">
        <v>0.40641737497643637</v>
      </c>
      <c r="P19" s="19">
        <v>0.11243908856885824</v>
      </c>
      <c r="R19" s="16">
        <f t="shared" si="0"/>
        <v>0.67504817301320963</v>
      </c>
      <c r="S19" s="16">
        <f t="shared" si="1"/>
        <v>0.49442452972720474</v>
      </c>
      <c r="T19" s="16">
        <f t="shared" si="2"/>
        <v>0.8616954699036603</v>
      </c>
      <c r="U19" s="16">
        <f t="shared" si="3"/>
        <v>-0.18062364328600489</v>
      </c>
      <c r="V19" s="16">
        <f t="shared" si="4"/>
        <v>0.18664729689045068</v>
      </c>
      <c r="W19" s="16">
        <f t="shared" si="5"/>
        <v>0.36727094017645556</v>
      </c>
      <c r="X19" s="16"/>
      <c r="Y19" s="16">
        <f t="shared" si="6"/>
        <v>0.87040620351091369</v>
      </c>
      <c r="Z19" s="16">
        <f t="shared" si="7"/>
        <v>0.86787878231788962</v>
      </c>
      <c r="AA19" s="16">
        <f t="shared" si="8"/>
        <v>1.3318274346718628</v>
      </c>
      <c r="AB19" s="16">
        <f t="shared" si="9"/>
        <v>-2.5274211930240709E-3</v>
      </c>
      <c r="AC19" s="16">
        <f t="shared" si="10"/>
        <v>0.46142123116094902</v>
      </c>
      <c r="AD19" s="16">
        <f t="shared" si="11"/>
        <v>0.46394865235397309</v>
      </c>
      <c r="AE19" s="16"/>
      <c r="AF19" s="16">
        <f t="shared" si="12"/>
        <v>0.70130403391016438</v>
      </c>
      <c r="AG19" s="16">
        <f t="shared" si="13"/>
        <v>0.57180415208215196</v>
      </c>
      <c r="AH19" s="16">
        <f t="shared" si="14"/>
        <v>0.86578243848973013</v>
      </c>
      <c r="AI19" s="16">
        <f t="shared" si="15"/>
        <v>-0.12949988182801242</v>
      </c>
      <c r="AJ19" s="16">
        <f t="shared" si="16"/>
        <v>0.1644784045795657</v>
      </c>
      <c r="AK19" s="16">
        <f t="shared" si="17"/>
        <v>0.29397828640757812</v>
      </c>
    </row>
    <row r="20" spans="2:37" x14ac:dyDescent="0.25">
      <c r="B20" s="1">
        <v>16</v>
      </c>
      <c r="C20" s="1">
        <v>15</v>
      </c>
      <c r="D20" s="1">
        <v>40</v>
      </c>
      <c r="E20" s="19">
        <v>0.85426365023469408</v>
      </c>
      <c r="F20" s="19">
        <v>0.18202059302195148</v>
      </c>
      <c r="G20" s="19">
        <v>0.31878742148807626</v>
      </c>
      <c r="H20" s="19">
        <v>8.8438382069146448E-2</v>
      </c>
      <c r="I20" s="19">
        <v>0.89979303989218307</v>
      </c>
      <c r="J20" s="19">
        <v>0.15462054870773081</v>
      </c>
      <c r="K20" s="19">
        <v>0.34488401931758661</v>
      </c>
      <c r="L20" s="19">
        <v>0.119124259807261</v>
      </c>
      <c r="M20" s="19">
        <v>0.97531106212574004</v>
      </c>
      <c r="N20" s="19">
        <v>0.21570158243290471</v>
      </c>
      <c r="O20" s="19">
        <v>0.45369508128339514</v>
      </c>
      <c r="P20" s="19">
        <v>0.12611931315392361</v>
      </c>
      <c r="R20" s="16">
        <f t="shared" si="0"/>
        <v>0.67224305721274258</v>
      </c>
      <c r="S20" s="16">
        <f t="shared" si="1"/>
        <v>0.53547622874661782</v>
      </c>
      <c r="T20" s="16">
        <f t="shared" si="2"/>
        <v>0.76582526816554763</v>
      </c>
      <c r="U20" s="16">
        <f t="shared" si="3"/>
        <v>-0.13676682846612478</v>
      </c>
      <c r="V20" s="16">
        <f t="shared" si="4"/>
        <v>9.3582210952805028E-2</v>
      </c>
      <c r="W20" s="16">
        <f t="shared" si="5"/>
        <v>0.23034903941892981</v>
      </c>
      <c r="X20" s="16"/>
      <c r="Y20" s="16">
        <f t="shared" si="6"/>
        <v>0.74517249118445228</v>
      </c>
      <c r="Z20" s="16">
        <f t="shared" si="7"/>
        <v>0.55490902057459646</v>
      </c>
      <c r="AA20" s="16">
        <f t="shared" si="8"/>
        <v>0.78066878008492202</v>
      </c>
      <c r="AB20" s="16">
        <f t="shared" si="9"/>
        <v>-0.19026347060985579</v>
      </c>
      <c r="AC20" s="16">
        <f t="shared" si="10"/>
        <v>3.5496288900469811E-2</v>
      </c>
      <c r="AD20" s="16">
        <f t="shared" si="11"/>
        <v>0.22575975951032562</v>
      </c>
      <c r="AE20" s="16"/>
      <c r="AF20" s="16">
        <f t="shared" si="12"/>
        <v>0.75960947969283532</v>
      </c>
      <c r="AG20" s="16">
        <f t="shared" si="13"/>
        <v>0.52161598084234484</v>
      </c>
      <c r="AH20" s="16">
        <f t="shared" si="14"/>
        <v>0.84919174897181637</v>
      </c>
      <c r="AI20" s="16">
        <f t="shared" si="15"/>
        <v>-0.23799349885049043</v>
      </c>
      <c r="AJ20" s="16">
        <f t="shared" si="16"/>
        <v>8.9582269278981108E-2</v>
      </c>
      <c r="AK20" s="16">
        <f t="shared" si="17"/>
        <v>0.32757576812947153</v>
      </c>
    </row>
    <row r="21" spans="2:37" x14ac:dyDescent="0.25">
      <c r="B21" s="1">
        <v>16</v>
      </c>
      <c r="C21" s="1">
        <v>15</v>
      </c>
      <c r="D21" s="1">
        <v>50</v>
      </c>
      <c r="E21" s="19">
        <v>0.94011432297330111</v>
      </c>
      <c r="F21" s="19">
        <v>0.17902211295605683</v>
      </c>
      <c r="G21" s="19">
        <v>0.3423250388244593</v>
      </c>
      <c r="H21" s="19">
        <v>4.4138359692903764E-2</v>
      </c>
      <c r="I21" s="19">
        <v>0.97524749454076987</v>
      </c>
      <c r="J21" s="19">
        <v>0.10522805623531402</v>
      </c>
      <c r="K21" s="19">
        <v>0.44225133466842437</v>
      </c>
      <c r="L21" s="19">
        <v>0.14626159319210821</v>
      </c>
      <c r="M21" s="19">
        <v>0.827227561963228</v>
      </c>
      <c r="N21" s="19">
        <v>7.6265460726776174E-2</v>
      </c>
      <c r="O21" s="19">
        <v>0.31001078138779492</v>
      </c>
      <c r="P21" s="19">
        <v>7.6000662487706608E-2</v>
      </c>
      <c r="R21" s="16">
        <f t="shared" si="0"/>
        <v>0.76109221001724425</v>
      </c>
      <c r="S21" s="16">
        <f t="shared" si="1"/>
        <v>0.5977892841488418</v>
      </c>
      <c r="T21" s="16">
        <f t="shared" si="2"/>
        <v>0.8959759632803973</v>
      </c>
      <c r="U21" s="16">
        <f t="shared" si="3"/>
        <v>-0.16330292586840248</v>
      </c>
      <c r="V21" s="16">
        <f t="shared" si="4"/>
        <v>0.13488375326315305</v>
      </c>
      <c r="W21" s="16">
        <f t="shared" si="5"/>
        <v>0.29818667913155555</v>
      </c>
      <c r="X21" s="16"/>
      <c r="Y21" s="16">
        <f t="shared" si="6"/>
        <v>0.87001943830545581</v>
      </c>
      <c r="Z21" s="16">
        <f t="shared" si="7"/>
        <v>0.5329961598723455</v>
      </c>
      <c r="AA21" s="16">
        <f t="shared" si="8"/>
        <v>0.82898590134866168</v>
      </c>
      <c r="AB21" s="16">
        <f t="shared" si="9"/>
        <v>-0.33702327843311036</v>
      </c>
      <c r="AC21" s="16">
        <f t="shared" si="10"/>
        <v>-4.1033536956794195E-2</v>
      </c>
      <c r="AD21" s="16">
        <f t="shared" si="11"/>
        <v>0.29598974147631618</v>
      </c>
      <c r="AE21" s="16"/>
      <c r="AF21" s="16">
        <f t="shared" si="12"/>
        <v>0.7509621012364518</v>
      </c>
      <c r="AG21" s="16">
        <f t="shared" si="13"/>
        <v>0.51721678057543308</v>
      </c>
      <c r="AH21" s="16">
        <f t="shared" si="14"/>
        <v>0.75122689947552135</v>
      </c>
      <c r="AI21" s="16">
        <f t="shared" si="15"/>
        <v>-0.23374532066101875</v>
      </c>
      <c r="AJ21" s="16">
        <f t="shared" si="16"/>
        <v>2.6479823906956634E-4</v>
      </c>
      <c r="AK21" s="16">
        <f t="shared" si="17"/>
        <v>0.23401011890008833</v>
      </c>
    </row>
    <row r="22" spans="2:37" x14ac:dyDescent="0.25">
      <c r="B22" s="1">
        <v>20</v>
      </c>
      <c r="C22" s="1">
        <v>5</v>
      </c>
      <c r="D22" s="1">
        <v>30</v>
      </c>
      <c r="E22" s="19">
        <v>0.90380625746962306</v>
      </c>
      <c r="F22" s="19">
        <v>0.10659190698775059</v>
      </c>
      <c r="G22" s="19">
        <v>0.37737627536635659</v>
      </c>
      <c r="H22" s="19">
        <v>7.9733898664155367E-2</v>
      </c>
      <c r="I22" s="19">
        <v>0.90431509899356666</v>
      </c>
      <c r="J22" s="19">
        <v>0.10473067397996801</v>
      </c>
      <c r="K22" s="19">
        <v>0.43441916790779589</v>
      </c>
      <c r="L22" s="19">
        <v>0.13882738972509046</v>
      </c>
      <c r="M22" s="19">
        <v>1.019528644934883</v>
      </c>
      <c r="N22" s="19">
        <v>9.9988499893023872E-2</v>
      </c>
      <c r="O22" s="19">
        <v>0.54528257055742857</v>
      </c>
      <c r="P22" s="19">
        <v>0.14536926730317087</v>
      </c>
      <c r="R22" s="16">
        <f t="shared" si="0"/>
        <v>0.7972143504818725</v>
      </c>
      <c r="S22" s="16">
        <f t="shared" si="1"/>
        <v>0.52642998210326652</v>
      </c>
      <c r="T22" s="16">
        <f t="shared" si="2"/>
        <v>0.8240723588054677</v>
      </c>
      <c r="U22" s="16">
        <f t="shared" si="3"/>
        <v>-0.27078436837860598</v>
      </c>
      <c r="V22" s="16">
        <f t="shared" si="4"/>
        <v>2.6858008323595223E-2</v>
      </c>
      <c r="W22" s="16">
        <f t="shared" si="5"/>
        <v>0.29764237670220123</v>
      </c>
      <c r="X22" s="16"/>
      <c r="Y22" s="16">
        <f t="shared" si="6"/>
        <v>0.79958442501359861</v>
      </c>
      <c r="Z22" s="16">
        <f t="shared" si="7"/>
        <v>0.46989593108577077</v>
      </c>
      <c r="AA22" s="16">
        <f t="shared" si="8"/>
        <v>0.7654877092684762</v>
      </c>
      <c r="AB22" s="16">
        <f t="shared" si="9"/>
        <v>-0.3296884939278279</v>
      </c>
      <c r="AC22" s="16">
        <f t="shared" si="10"/>
        <v>-3.409671574512245E-2</v>
      </c>
      <c r="AD22" s="16">
        <f t="shared" si="11"/>
        <v>0.29559177818270543</v>
      </c>
      <c r="AE22" s="16"/>
      <c r="AF22" s="16">
        <f t="shared" si="12"/>
        <v>0.91954014504185921</v>
      </c>
      <c r="AG22" s="16">
        <f t="shared" si="13"/>
        <v>0.47424607437745447</v>
      </c>
      <c r="AH22" s="16">
        <f t="shared" si="14"/>
        <v>0.87415937763171214</v>
      </c>
      <c r="AI22" s="16">
        <f t="shared" si="15"/>
        <v>-0.44529407066440468</v>
      </c>
      <c r="AJ22" s="16">
        <f t="shared" si="16"/>
        <v>-4.5380767410147002E-2</v>
      </c>
      <c r="AK22" s="16">
        <f t="shared" si="17"/>
        <v>0.39991330325425767</v>
      </c>
    </row>
    <row r="23" spans="2:37" x14ac:dyDescent="0.25">
      <c r="B23" s="1">
        <v>20</v>
      </c>
      <c r="C23" s="1">
        <v>5</v>
      </c>
      <c r="D23" s="1">
        <v>40</v>
      </c>
      <c r="E23" s="19">
        <v>0.94856326054973628</v>
      </c>
      <c r="F23" s="19">
        <v>6.8552625855015023E-2</v>
      </c>
      <c r="G23" s="19">
        <v>0.40949028255998232</v>
      </c>
      <c r="H23" s="19">
        <v>8.9928830208049038E-2</v>
      </c>
      <c r="I23" s="19">
        <v>0.8752173974752564</v>
      </c>
      <c r="J23" s="19">
        <v>7.3151325794984984E-2</v>
      </c>
      <c r="K23" s="19">
        <v>0.39624577429103225</v>
      </c>
      <c r="L23" s="19">
        <v>8.9555982049992905E-2</v>
      </c>
      <c r="M23" s="19">
        <v>0.99885065412043306</v>
      </c>
      <c r="N23" s="19">
        <v>0.10350901003922308</v>
      </c>
      <c r="O23" s="19">
        <v>0.49076696340557868</v>
      </c>
      <c r="P23" s="19">
        <v>0.12409746398678564</v>
      </c>
      <c r="R23" s="16">
        <f t="shared" si="0"/>
        <v>0.88001063469472129</v>
      </c>
      <c r="S23" s="16">
        <f t="shared" si="1"/>
        <v>0.53907297798975395</v>
      </c>
      <c r="T23" s="16">
        <f t="shared" si="2"/>
        <v>0.85863443034168729</v>
      </c>
      <c r="U23" s="16">
        <f t="shared" si="3"/>
        <v>-0.34093765670496728</v>
      </c>
      <c r="V23" s="16">
        <f t="shared" si="4"/>
        <v>-2.1376204353034015E-2</v>
      </c>
      <c r="W23" s="16">
        <f t="shared" si="5"/>
        <v>0.31956145235193328</v>
      </c>
      <c r="X23" s="16"/>
      <c r="Y23" s="16">
        <f t="shared" si="6"/>
        <v>0.80206607168027144</v>
      </c>
      <c r="Z23" s="16">
        <f t="shared" si="7"/>
        <v>0.47897162318422415</v>
      </c>
      <c r="AA23" s="16">
        <f t="shared" si="8"/>
        <v>0.78566141542526347</v>
      </c>
      <c r="AB23" s="16">
        <f t="shared" si="9"/>
        <v>-0.32309444849604729</v>
      </c>
      <c r="AC23" s="16">
        <f t="shared" si="10"/>
        <v>-1.6404656255007921E-2</v>
      </c>
      <c r="AD23" s="16">
        <f t="shared" si="11"/>
        <v>0.30668979224103932</v>
      </c>
      <c r="AE23" s="16"/>
      <c r="AF23" s="16">
        <f t="shared" si="12"/>
        <v>0.89534164408120998</v>
      </c>
      <c r="AG23" s="16">
        <f t="shared" si="13"/>
        <v>0.50808369071485437</v>
      </c>
      <c r="AH23" s="16">
        <f t="shared" si="14"/>
        <v>0.87475319013364738</v>
      </c>
      <c r="AI23" s="16">
        <f t="shared" si="15"/>
        <v>-0.3872579533663556</v>
      </c>
      <c r="AJ23" s="16">
        <f t="shared" si="16"/>
        <v>-2.0588453947562563E-2</v>
      </c>
      <c r="AK23" s="16">
        <f t="shared" si="17"/>
        <v>0.36666949941879301</v>
      </c>
    </row>
    <row r="24" spans="2:37" x14ac:dyDescent="0.25">
      <c r="B24" s="1">
        <v>20</v>
      </c>
      <c r="C24" s="1">
        <v>5</v>
      </c>
      <c r="D24" s="1">
        <v>50</v>
      </c>
      <c r="E24" s="19">
        <v>0.92034372433887734</v>
      </c>
      <c r="F24" s="19">
        <v>6.5575600067788134E-2</v>
      </c>
      <c r="G24" s="19">
        <v>0.47487644684551417</v>
      </c>
      <c r="H24" s="19">
        <v>5.350930245604997E-2</v>
      </c>
      <c r="I24" s="19">
        <v>0.89930994924071117</v>
      </c>
      <c r="J24" s="19">
        <v>8.6289394059625352E-2</v>
      </c>
      <c r="K24" s="19">
        <v>0.30078294059892874</v>
      </c>
      <c r="L24" s="19">
        <v>7.3535289521628994E-2</v>
      </c>
      <c r="M24" s="19">
        <v>0.90172405871223549</v>
      </c>
      <c r="N24" s="19">
        <v>0.1065910930521075</v>
      </c>
      <c r="O24" s="19">
        <v>0.39592517670723226</v>
      </c>
      <c r="P24" s="19">
        <v>0.10966122265094531</v>
      </c>
      <c r="R24" s="16">
        <f t="shared" si="0"/>
        <v>0.85476812427108917</v>
      </c>
      <c r="S24" s="16">
        <f t="shared" si="1"/>
        <v>0.44546727749336318</v>
      </c>
      <c r="T24" s="16">
        <f t="shared" si="2"/>
        <v>0.86683442188282733</v>
      </c>
      <c r="U24" s="16">
        <f t="shared" si="3"/>
        <v>-0.40930084677772605</v>
      </c>
      <c r="V24" s="16">
        <f t="shared" si="4"/>
        <v>1.2066297611738164E-2</v>
      </c>
      <c r="W24" s="16">
        <f t="shared" si="5"/>
        <v>0.42136714438946421</v>
      </c>
      <c r="X24" s="16"/>
      <c r="Y24" s="16">
        <f t="shared" si="6"/>
        <v>0.81302055518108585</v>
      </c>
      <c r="Z24" s="16">
        <f t="shared" si="7"/>
        <v>0.59852700864178243</v>
      </c>
      <c r="AA24" s="16">
        <f t="shared" si="8"/>
        <v>0.82577465971908215</v>
      </c>
      <c r="AB24" s="16">
        <f t="shared" si="9"/>
        <v>-0.21449354653930339</v>
      </c>
      <c r="AC24" s="16">
        <f t="shared" si="10"/>
        <v>1.2754104537996358E-2</v>
      </c>
      <c r="AD24" s="16">
        <f t="shared" si="11"/>
        <v>0.22724765107729974</v>
      </c>
      <c r="AE24" s="16"/>
      <c r="AF24" s="16">
        <f t="shared" si="12"/>
        <v>0.79513296566012803</v>
      </c>
      <c r="AG24" s="16">
        <f t="shared" si="13"/>
        <v>0.50579888200500323</v>
      </c>
      <c r="AH24" s="16">
        <f t="shared" si="14"/>
        <v>0.79206283606129013</v>
      </c>
      <c r="AI24" s="16">
        <f t="shared" si="15"/>
        <v>-0.28933408365512475</v>
      </c>
      <c r="AJ24" s="16">
        <f t="shared" si="16"/>
        <v>-3.0701295988378174E-3</v>
      </c>
      <c r="AK24" s="16">
        <f t="shared" si="17"/>
        <v>0.28626395405628696</v>
      </c>
    </row>
    <row r="25" spans="2:37" x14ac:dyDescent="0.25">
      <c r="B25" s="1">
        <v>20</v>
      </c>
      <c r="C25" s="1">
        <v>10</v>
      </c>
      <c r="D25" s="1">
        <v>30</v>
      </c>
      <c r="E25" s="19">
        <v>0.88881312606494767</v>
      </c>
      <c r="F25" s="19">
        <v>0.10779093996690939</v>
      </c>
      <c r="G25" s="19">
        <v>0.44480180281340759</v>
      </c>
      <c r="H25" s="19">
        <v>0.11223910989820585</v>
      </c>
      <c r="I25" s="19">
        <v>0.91759086435341486</v>
      </c>
      <c r="J25" s="19">
        <v>0.10810104179041483</v>
      </c>
      <c r="K25" s="19">
        <v>0.3649281295816264</v>
      </c>
      <c r="L25" s="19">
        <v>4.5173878006298802E-2</v>
      </c>
      <c r="M25" s="19">
        <v>0.89678880840258768</v>
      </c>
      <c r="N25" s="19">
        <v>0.26314285324236131</v>
      </c>
      <c r="O25" s="19">
        <v>0.38550263315616851</v>
      </c>
      <c r="P25" s="19">
        <v>6.6331057602588603E-2</v>
      </c>
      <c r="R25" s="16">
        <f t="shared" si="0"/>
        <v>0.78102218609803831</v>
      </c>
      <c r="S25" s="16">
        <f t="shared" si="1"/>
        <v>0.44401132325154008</v>
      </c>
      <c r="T25" s="16">
        <f t="shared" si="2"/>
        <v>0.77657401616674182</v>
      </c>
      <c r="U25" s="16">
        <f t="shared" si="3"/>
        <v>-0.33701086284649817</v>
      </c>
      <c r="V25" s="16">
        <f t="shared" si="4"/>
        <v>-4.4481699312964584E-3</v>
      </c>
      <c r="W25" s="16">
        <f t="shared" si="5"/>
        <v>0.33256269291520174</v>
      </c>
      <c r="X25" s="16"/>
      <c r="Y25" s="16">
        <f t="shared" si="6"/>
        <v>0.80948982256300006</v>
      </c>
      <c r="Z25" s="16">
        <f t="shared" si="7"/>
        <v>0.55266273477178851</v>
      </c>
      <c r="AA25" s="16">
        <f t="shared" si="8"/>
        <v>0.87241698634711606</v>
      </c>
      <c r="AB25" s="16">
        <f t="shared" si="9"/>
        <v>-0.25682708779121155</v>
      </c>
      <c r="AC25" s="16">
        <f t="shared" si="10"/>
        <v>6.292716378411603E-2</v>
      </c>
      <c r="AD25" s="16">
        <f t="shared" si="11"/>
        <v>0.31975425157532761</v>
      </c>
      <c r="AE25" s="16"/>
      <c r="AF25" s="16">
        <f t="shared" si="12"/>
        <v>0.63364595516022637</v>
      </c>
      <c r="AG25" s="16">
        <f t="shared" si="13"/>
        <v>0.51128617524641917</v>
      </c>
      <c r="AH25" s="16">
        <f t="shared" si="14"/>
        <v>0.83045775079999906</v>
      </c>
      <c r="AI25" s="16">
        <f t="shared" si="15"/>
        <v>-0.1223597799138072</v>
      </c>
      <c r="AJ25" s="16">
        <f t="shared" si="16"/>
        <v>0.19681179563977269</v>
      </c>
      <c r="AK25" s="16">
        <f t="shared" si="17"/>
        <v>0.31917157555357989</v>
      </c>
    </row>
    <row r="26" spans="2:37" x14ac:dyDescent="0.25">
      <c r="B26" s="1">
        <v>20</v>
      </c>
      <c r="C26" s="1">
        <v>10</v>
      </c>
      <c r="D26" s="1">
        <v>40</v>
      </c>
      <c r="E26" s="19">
        <v>0.89016270058892211</v>
      </c>
      <c r="F26" s="19">
        <v>0.13130576193003635</v>
      </c>
      <c r="G26" s="19">
        <v>0.37164609554098094</v>
      </c>
      <c r="H26" s="19">
        <v>7.9384843047369993E-2</v>
      </c>
      <c r="I26" s="19">
        <v>0.92882450410396378</v>
      </c>
      <c r="J26" s="19">
        <v>0.10995725729752455</v>
      </c>
      <c r="K26" s="19">
        <v>0.44621759508313791</v>
      </c>
      <c r="L26" s="19">
        <v>0.14228163336078631</v>
      </c>
      <c r="M26" s="19">
        <v>0.83144499558989637</v>
      </c>
      <c r="N26" s="19">
        <v>0.15750629944251399</v>
      </c>
      <c r="O26" s="19">
        <v>0.33362255065517987</v>
      </c>
      <c r="P26" s="19">
        <v>0.13979975120161903</v>
      </c>
      <c r="R26" s="16">
        <f t="shared" si="0"/>
        <v>0.7588569386588857</v>
      </c>
      <c r="S26" s="16">
        <f t="shared" si="1"/>
        <v>0.51851660504794117</v>
      </c>
      <c r="T26" s="16">
        <f t="shared" si="2"/>
        <v>0.81077785754155207</v>
      </c>
      <c r="U26" s="16">
        <f t="shared" si="3"/>
        <v>-0.24034033361094459</v>
      </c>
      <c r="V26" s="16">
        <f t="shared" si="4"/>
        <v>5.1920918882666353E-2</v>
      </c>
      <c r="W26" s="16">
        <f t="shared" si="5"/>
        <v>0.29226125249361096</v>
      </c>
      <c r="X26" s="16"/>
      <c r="Y26" s="16">
        <f t="shared" si="6"/>
        <v>0.81886724680643919</v>
      </c>
      <c r="Z26" s="16">
        <f t="shared" si="7"/>
        <v>0.48260690902082587</v>
      </c>
      <c r="AA26" s="16">
        <f t="shared" si="8"/>
        <v>0.78654287074317741</v>
      </c>
      <c r="AB26" s="16">
        <f t="shared" si="9"/>
        <v>-0.33626033778561337</v>
      </c>
      <c r="AC26" s="16">
        <f t="shared" si="10"/>
        <v>-3.2324376063261759E-2</v>
      </c>
      <c r="AD26" s="16">
        <f t="shared" si="11"/>
        <v>0.3039359617223516</v>
      </c>
      <c r="AE26" s="16"/>
      <c r="AF26" s="16">
        <f t="shared" si="12"/>
        <v>0.67393869614738233</v>
      </c>
      <c r="AG26" s="16">
        <f t="shared" si="13"/>
        <v>0.4978224449347165</v>
      </c>
      <c r="AH26" s="16">
        <f t="shared" si="14"/>
        <v>0.69164524438827735</v>
      </c>
      <c r="AI26" s="16">
        <f t="shared" si="15"/>
        <v>-0.17611625121266589</v>
      </c>
      <c r="AJ26" s="16">
        <f t="shared" si="16"/>
        <v>1.7706548240894959E-2</v>
      </c>
      <c r="AK26" s="16">
        <f t="shared" si="17"/>
        <v>0.19382279945356085</v>
      </c>
    </row>
    <row r="27" spans="2:37" x14ac:dyDescent="0.25">
      <c r="B27" s="1">
        <v>20</v>
      </c>
      <c r="C27" s="1">
        <v>10</v>
      </c>
      <c r="D27" s="1">
        <v>50</v>
      </c>
      <c r="E27" s="19">
        <v>0.90171776008180182</v>
      </c>
      <c r="F27" s="19">
        <v>8.5111165458666926E-2</v>
      </c>
      <c r="G27" s="19">
        <v>0.32779547381276075</v>
      </c>
      <c r="H27" s="19">
        <v>0.10718122025942212</v>
      </c>
      <c r="I27" s="19">
        <v>0.9161278622625566</v>
      </c>
      <c r="J27" s="19">
        <v>7.8537654594768788E-2</v>
      </c>
      <c r="K27" s="19">
        <v>0.36238558616606442</v>
      </c>
      <c r="L27" s="19">
        <v>7.9443926059704989E-2</v>
      </c>
      <c r="M27" s="19">
        <v>0.9417767968482792</v>
      </c>
      <c r="N27" s="19">
        <v>0.14003247539939687</v>
      </c>
      <c r="O27" s="19">
        <v>0.37166689386343549</v>
      </c>
      <c r="P27" s="19">
        <v>0.10160647764871097</v>
      </c>
      <c r="R27" s="16">
        <f t="shared" si="0"/>
        <v>0.8166065946231349</v>
      </c>
      <c r="S27" s="16">
        <f t="shared" si="1"/>
        <v>0.57392228626904107</v>
      </c>
      <c r="T27" s="16">
        <f t="shared" si="2"/>
        <v>0.79453653982237971</v>
      </c>
      <c r="U27" s="16">
        <f t="shared" si="3"/>
        <v>-0.24268430835409383</v>
      </c>
      <c r="V27" s="16">
        <f t="shared" si="4"/>
        <v>-2.207005480075519E-2</v>
      </c>
      <c r="W27" s="16">
        <f t="shared" si="5"/>
        <v>0.22061425355333864</v>
      </c>
      <c r="X27" s="16"/>
      <c r="Y27" s="16">
        <f t="shared" si="6"/>
        <v>0.8375902076677878</v>
      </c>
      <c r="Z27" s="16">
        <f t="shared" si="7"/>
        <v>0.55374227609649218</v>
      </c>
      <c r="AA27" s="16">
        <f t="shared" si="8"/>
        <v>0.83668393620285164</v>
      </c>
      <c r="AB27" s="16">
        <f t="shared" si="9"/>
        <v>-0.28384793157129562</v>
      </c>
      <c r="AC27" s="16">
        <f t="shared" si="10"/>
        <v>-9.0627146493620081E-4</v>
      </c>
      <c r="AD27" s="16">
        <f t="shared" si="11"/>
        <v>0.28294166010635946</v>
      </c>
      <c r="AE27" s="16"/>
      <c r="AF27" s="16">
        <f t="shared" si="12"/>
        <v>0.8017443214488823</v>
      </c>
      <c r="AG27" s="16">
        <f t="shared" si="13"/>
        <v>0.57010990298484376</v>
      </c>
      <c r="AH27" s="16">
        <f t="shared" si="14"/>
        <v>0.84017031919956819</v>
      </c>
      <c r="AI27" s="16">
        <f t="shared" si="15"/>
        <v>-0.23163441846403862</v>
      </c>
      <c r="AJ27" s="16">
        <f t="shared" si="16"/>
        <v>3.8425997750685892E-2</v>
      </c>
      <c r="AK27" s="16">
        <f t="shared" si="17"/>
        <v>0.27006041621472454</v>
      </c>
    </row>
    <row r="28" spans="2:37" x14ac:dyDescent="0.25">
      <c r="B28" s="1">
        <v>20</v>
      </c>
      <c r="C28" s="1">
        <v>15</v>
      </c>
      <c r="D28" s="1">
        <v>30</v>
      </c>
      <c r="E28" s="19">
        <v>1.137052140770221</v>
      </c>
      <c r="F28" s="19">
        <v>0.35288655184733331</v>
      </c>
      <c r="G28" s="19">
        <v>0.60357098116857666</v>
      </c>
      <c r="H28" s="19">
        <v>0.12994217464334873</v>
      </c>
      <c r="I28" s="19">
        <v>0.93079370381497528</v>
      </c>
      <c r="J28" s="19">
        <v>0.26595375166465807</v>
      </c>
      <c r="K28" s="19">
        <v>0.41776422380188621</v>
      </c>
      <c r="L28" s="19">
        <v>4.2503629301932598E-2</v>
      </c>
      <c r="M28" s="19">
        <v>0.93869932092882424</v>
      </c>
      <c r="N28" s="19">
        <v>0.28514187939545238</v>
      </c>
      <c r="O28" s="19">
        <v>0.32723142820874923</v>
      </c>
      <c r="P28" s="19">
        <v>4.9168050340192844E-2</v>
      </c>
      <c r="R28" s="16">
        <f t="shared" si="0"/>
        <v>0.78416558892288768</v>
      </c>
      <c r="S28" s="16">
        <f t="shared" si="1"/>
        <v>0.53348115960164433</v>
      </c>
      <c r="T28" s="16">
        <f t="shared" si="2"/>
        <v>1.0071099661268723</v>
      </c>
      <c r="U28" s="16">
        <f t="shared" si="3"/>
        <v>-0.25068442932124335</v>
      </c>
      <c r="V28" s="16">
        <f t="shared" si="4"/>
        <v>0.22294437720398458</v>
      </c>
      <c r="W28" s="16">
        <f t="shared" si="5"/>
        <v>0.47362880652522793</v>
      </c>
      <c r="X28" s="16"/>
      <c r="Y28" s="16">
        <f t="shared" si="6"/>
        <v>0.66483995215031721</v>
      </c>
      <c r="Z28" s="16">
        <f t="shared" si="7"/>
        <v>0.51302948001308901</v>
      </c>
      <c r="AA28" s="16">
        <f t="shared" si="8"/>
        <v>0.88829007451304265</v>
      </c>
      <c r="AB28" s="16">
        <f t="shared" si="9"/>
        <v>-0.15181047213722815</v>
      </c>
      <c r="AC28" s="16">
        <f t="shared" si="10"/>
        <v>0.22345012236272546</v>
      </c>
      <c r="AD28" s="16">
        <f t="shared" si="11"/>
        <v>0.37526059449995364</v>
      </c>
      <c r="AE28" s="16"/>
      <c r="AF28" s="16">
        <f t="shared" si="12"/>
        <v>0.65355744153337181</v>
      </c>
      <c r="AG28" s="16">
        <f t="shared" si="13"/>
        <v>0.61146789272007496</v>
      </c>
      <c r="AH28" s="16">
        <f t="shared" si="14"/>
        <v>0.88953127058863135</v>
      </c>
      <c r="AI28" s="16">
        <f t="shared" si="15"/>
        <v>-4.2089548813296851E-2</v>
      </c>
      <c r="AJ28" s="16">
        <f t="shared" si="16"/>
        <v>0.23597382905525954</v>
      </c>
      <c r="AK28" s="16">
        <f t="shared" si="17"/>
        <v>0.27806337786855639</v>
      </c>
    </row>
    <row r="29" spans="2:37" x14ac:dyDescent="0.25">
      <c r="B29" s="1">
        <v>20</v>
      </c>
      <c r="C29" s="1">
        <v>15</v>
      </c>
      <c r="D29" s="1">
        <v>40</v>
      </c>
      <c r="E29" s="19">
        <v>0.86094377557917079</v>
      </c>
      <c r="F29" s="19">
        <v>0.17755800396997659</v>
      </c>
      <c r="G29" s="19">
        <v>0.38312155419425808</v>
      </c>
      <c r="H29" s="19">
        <v>0.11662233566549078</v>
      </c>
      <c r="I29" s="19">
        <v>0.82936845420721994</v>
      </c>
      <c r="J29" s="19">
        <v>0.13948703118578157</v>
      </c>
      <c r="K29" s="19">
        <v>0.28494539564634358</v>
      </c>
      <c r="L29" s="19">
        <v>6.1186202209859299E-2</v>
      </c>
      <c r="M29" s="19">
        <v>0.8938129364446763</v>
      </c>
      <c r="N29" s="19">
        <v>0.30516315889659207</v>
      </c>
      <c r="O29" s="19">
        <v>0.31824132574486352</v>
      </c>
      <c r="P29" s="19">
        <v>4.9923043561034754E-2</v>
      </c>
      <c r="R29" s="16">
        <f t="shared" si="0"/>
        <v>0.68338577160919423</v>
      </c>
      <c r="S29" s="16">
        <f t="shared" si="1"/>
        <v>0.4778222213849127</v>
      </c>
      <c r="T29" s="16">
        <f t="shared" si="2"/>
        <v>0.74432143991368005</v>
      </c>
      <c r="U29" s="16">
        <f t="shared" si="3"/>
        <v>-0.20556355022428149</v>
      </c>
      <c r="V29" s="16">
        <f t="shared" si="4"/>
        <v>6.093566830448581E-2</v>
      </c>
      <c r="W29" s="16">
        <f t="shared" si="5"/>
        <v>0.26649921852876729</v>
      </c>
      <c r="X29" s="16"/>
      <c r="Y29" s="16">
        <f t="shared" si="6"/>
        <v>0.6898814230214384</v>
      </c>
      <c r="Z29" s="16">
        <f t="shared" si="7"/>
        <v>0.54442305856087636</v>
      </c>
      <c r="AA29" s="16">
        <f t="shared" si="8"/>
        <v>0.76818225199736068</v>
      </c>
      <c r="AB29" s="16">
        <f t="shared" si="9"/>
        <v>-0.14545836446056201</v>
      </c>
      <c r="AC29" s="16">
        <f t="shared" si="10"/>
        <v>7.8300828975922276E-2</v>
      </c>
      <c r="AD29" s="16">
        <f t="shared" si="11"/>
        <v>0.22375919343648429</v>
      </c>
      <c r="AE29" s="16"/>
      <c r="AF29" s="16">
        <f t="shared" si="12"/>
        <v>0.58864977754808423</v>
      </c>
      <c r="AG29" s="16">
        <f t="shared" si="13"/>
        <v>0.57557161069981277</v>
      </c>
      <c r="AH29" s="16">
        <f t="shared" si="14"/>
        <v>0.84388989288364158</v>
      </c>
      <c r="AI29" s="16">
        <f t="shared" si="15"/>
        <v>-1.3078166848271455E-2</v>
      </c>
      <c r="AJ29" s="16">
        <f t="shared" si="16"/>
        <v>0.25524011533555729</v>
      </c>
      <c r="AK29" s="16">
        <f t="shared" si="17"/>
        <v>0.26831828218382875</v>
      </c>
    </row>
    <row r="30" spans="2:37" x14ac:dyDescent="0.25">
      <c r="B30" s="1">
        <v>20</v>
      </c>
      <c r="C30" s="1">
        <v>15</v>
      </c>
      <c r="D30" s="1">
        <v>50</v>
      </c>
      <c r="E30" s="19">
        <v>0.87890333635581397</v>
      </c>
      <c r="F30" s="19">
        <v>0.14961079796377863</v>
      </c>
      <c r="G30" s="19">
        <v>0.39599005874227144</v>
      </c>
      <c r="H30" s="19">
        <v>0.13372223242565978</v>
      </c>
      <c r="I30" s="19">
        <v>0.88277915979635979</v>
      </c>
      <c r="J30" s="19">
        <v>9.7923526791012946E-2</v>
      </c>
      <c r="K30" s="19">
        <v>0.34937412085851272</v>
      </c>
      <c r="L30" s="19">
        <v>8.8622680844424567E-2</v>
      </c>
      <c r="M30" s="19">
        <v>0.9313414522984067</v>
      </c>
      <c r="N30" s="19">
        <v>0.16959573599534883</v>
      </c>
      <c r="O30" s="19">
        <v>0.34043249545087068</v>
      </c>
      <c r="P30" s="19">
        <v>8.5767766309063284E-2</v>
      </c>
      <c r="R30" s="16">
        <f t="shared" si="0"/>
        <v>0.72929253839203534</v>
      </c>
      <c r="S30" s="16">
        <f t="shared" si="1"/>
        <v>0.48291327761354252</v>
      </c>
      <c r="T30" s="16">
        <f t="shared" si="2"/>
        <v>0.74518110393015413</v>
      </c>
      <c r="U30" s="16">
        <f t="shared" si="3"/>
        <v>-0.24637926077849281</v>
      </c>
      <c r="V30" s="16">
        <f t="shared" si="4"/>
        <v>1.5888565538118848E-2</v>
      </c>
      <c r="W30" s="16">
        <f t="shared" si="5"/>
        <v>0.26226782631661166</v>
      </c>
      <c r="X30" s="16"/>
      <c r="Y30" s="16">
        <f t="shared" si="6"/>
        <v>0.78485563300534689</v>
      </c>
      <c r="Z30" s="16">
        <f t="shared" si="7"/>
        <v>0.53340503893784708</v>
      </c>
      <c r="AA30" s="16">
        <f t="shared" si="8"/>
        <v>0.7941564789519352</v>
      </c>
      <c r="AB30" s="16">
        <f t="shared" si="9"/>
        <v>-0.25145059406749976</v>
      </c>
      <c r="AC30" s="16">
        <f t="shared" si="10"/>
        <v>9.3008459465883792E-3</v>
      </c>
      <c r="AD30" s="16">
        <f t="shared" si="11"/>
        <v>0.26075144001408812</v>
      </c>
      <c r="AE30" s="16"/>
      <c r="AF30" s="16">
        <f t="shared" si="12"/>
        <v>0.76174571630305787</v>
      </c>
      <c r="AG30" s="16">
        <f t="shared" si="13"/>
        <v>0.59090895684753608</v>
      </c>
      <c r="AH30" s="16">
        <f t="shared" si="14"/>
        <v>0.84557368598934346</v>
      </c>
      <c r="AI30" s="16">
        <f t="shared" si="15"/>
        <v>-0.17083675945552185</v>
      </c>
      <c r="AJ30" s="16">
        <f t="shared" si="16"/>
        <v>8.3827969686285544E-2</v>
      </c>
      <c r="AK30" s="16">
        <f t="shared" si="17"/>
        <v>0.25466472914180738</v>
      </c>
    </row>
    <row r="31" spans="2:37" x14ac:dyDescent="0.25">
      <c r="B31" s="28" t="s">
        <v>27</v>
      </c>
      <c r="C31" s="28"/>
      <c r="D31" s="28"/>
      <c r="E31" s="17">
        <f>AVERAGE(E4:E30)</f>
        <v>0.9116343146953243</v>
      </c>
      <c r="F31" s="17">
        <f t="shared" ref="F31:P31" si="18">AVERAGE(F4:F30)</f>
        <v>0.13294866581711706</v>
      </c>
      <c r="G31" s="17">
        <f t="shared" si="18"/>
        <v>0.38528530997094623</v>
      </c>
      <c r="H31" s="17">
        <f t="shared" si="18"/>
        <v>8.8047593116010431E-2</v>
      </c>
      <c r="I31" s="17">
        <f t="shared" si="18"/>
        <v>0.95103718709886109</v>
      </c>
      <c r="J31" s="17">
        <f t="shared" si="18"/>
        <v>0.14674299013663145</v>
      </c>
      <c r="K31" s="17">
        <f t="shared" si="18"/>
        <v>0.40061314772911111</v>
      </c>
      <c r="L31" s="17">
        <f t="shared" si="18"/>
        <v>9.0909388533505123E-2</v>
      </c>
      <c r="M31" s="17">
        <f t="shared" si="18"/>
        <v>0.95310402125147453</v>
      </c>
      <c r="N31" s="17">
        <f t="shared" si="18"/>
        <v>0.17190353181704002</v>
      </c>
      <c r="O31" s="17">
        <f t="shared" si="18"/>
        <v>0.41311442450445335</v>
      </c>
      <c r="P31" s="17">
        <f t="shared" si="18"/>
        <v>0.10904960717673695</v>
      </c>
    </row>
    <row r="33" spans="18:23" x14ac:dyDescent="0.25">
      <c r="R33" s="16"/>
      <c r="S33" s="16"/>
      <c r="T33" s="16"/>
      <c r="U33" s="16"/>
      <c r="V33" s="16"/>
      <c r="W33" s="16"/>
    </row>
  </sheetData>
  <mergeCells count="7">
    <mergeCell ref="AF2:AK2"/>
    <mergeCell ref="E2:H2"/>
    <mergeCell ref="I2:L2"/>
    <mergeCell ref="M2:P2"/>
    <mergeCell ref="B31:D31"/>
    <mergeCell ref="R2:W2"/>
    <mergeCell ref="Y2:A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DA88-81EB-4FE4-928C-FF278F8A7465}">
  <dimension ref="B2:AK33"/>
  <sheetViews>
    <sheetView workbookViewId="0">
      <selection activeCell="AF4" sqref="AF4:AK30"/>
    </sheetView>
  </sheetViews>
  <sheetFormatPr defaultRowHeight="15.75" x14ac:dyDescent="0.25"/>
  <cols>
    <col min="1" max="1" width="8.85546875" style="1" customWidth="1"/>
    <col min="2" max="2" width="4.5703125" style="1" bestFit="1" customWidth="1"/>
    <col min="3" max="4" width="3.42578125" style="1" bestFit="1" customWidth="1"/>
    <col min="5" max="5" width="9.7109375" style="1" bestFit="1" customWidth="1"/>
    <col min="6" max="7" width="9.5703125" style="1" bestFit="1" customWidth="1"/>
    <col min="8" max="8" width="8.5703125" style="1" bestFit="1" customWidth="1"/>
    <col min="9" max="9" width="9.7109375" style="1" bestFit="1" customWidth="1"/>
    <col min="10" max="11" width="9.5703125" style="1" bestFit="1" customWidth="1"/>
    <col min="12" max="12" width="8.5703125" style="1" bestFit="1" customWidth="1"/>
    <col min="13" max="13" width="9.7109375" style="1" bestFit="1" customWidth="1"/>
    <col min="14" max="15" width="9.5703125" style="1" bestFit="1" customWidth="1"/>
    <col min="16" max="16" width="8.5703125" style="1" bestFit="1" customWidth="1"/>
    <col min="17" max="17" width="9.140625" style="1"/>
    <col min="18" max="20" width="8.5703125" style="1" bestFit="1" customWidth="1"/>
    <col min="21" max="21" width="9.28515625" style="1" bestFit="1" customWidth="1"/>
    <col min="22" max="23" width="8.42578125" style="1" bestFit="1" customWidth="1"/>
    <col min="24" max="24" width="9.140625" style="1"/>
    <col min="25" max="27" width="8.5703125" style="1" bestFit="1" customWidth="1"/>
    <col min="28" max="28" width="9.28515625" style="1" bestFit="1" customWidth="1"/>
    <col min="29" max="30" width="8.42578125" style="1" bestFit="1" customWidth="1"/>
    <col min="31" max="31" width="9.140625" style="1"/>
    <col min="32" max="34" width="8.5703125" style="1" bestFit="1" customWidth="1"/>
    <col min="35" max="35" width="9.28515625" style="1" bestFit="1" customWidth="1"/>
    <col min="36" max="37" width="8.42578125" style="1" bestFit="1" customWidth="1"/>
    <col min="38" max="16384" width="9.140625" style="1"/>
  </cols>
  <sheetData>
    <row r="2" spans="2:37" x14ac:dyDescent="0.25">
      <c r="B2" s="13"/>
      <c r="C2" s="13"/>
      <c r="D2" s="13"/>
      <c r="E2" s="27" t="s">
        <v>17</v>
      </c>
      <c r="F2" s="27"/>
      <c r="G2" s="27"/>
      <c r="H2" s="27"/>
      <c r="I2" s="27" t="s">
        <v>18</v>
      </c>
      <c r="J2" s="27"/>
      <c r="K2" s="27"/>
      <c r="L2" s="27"/>
      <c r="M2" s="27" t="s">
        <v>19</v>
      </c>
      <c r="N2" s="27"/>
      <c r="O2" s="27"/>
      <c r="P2" s="27"/>
      <c r="R2" s="26" t="s">
        <v>17</v>
      </c>
      <c r="S2" s="26"/>
      <c r="T2" s="26"/>
      <c r="U2" s="26"/>
      <c r="V2" s="26"/>
      <c r="W2" s="26"/>
      <c r="X2" s="14"/>
      <c r="Y2" s="26" t="s">
        <v>18</v>
      </c>
      <c r="Z2" s="26"/>
      <c r="AA2" s="26"/>
      <c r="AB2" s="26"/>
      <c r="AC2" s="26"/>
      <c r="AD2" s="26"/>
      <c r="AE2" s="14"/>
      <c r="AF2" s="26" t="s">
        <v>18</v>
      </c>
      <c r="AG2" s="26"/>
      <c r="AH2" s="26"/>
      <c r="AI2" s="26"/>
      <c r="AJ2" s="26"/>
      <c r="AK2" s="26"/>
    </row>
    <row r="3" spans="2:37" x14ac:dyDescent="0.25">
      <c r="B3" s="15" t="s">
        <v>20</v>
      </c>
      <c r="C3" s="15" t="s">
        <v>21</v>
      </c>
      <c r="D3" s="15" t="s">
        <v>22</v>
      </c>
      <c r="E3" s="15" t="s">
        <v>23</v>
      </c>
      <c r="F3" s="15" t="s">
        <v>24</v>
      </c>
      <c r="G3" s="15" t="s">
        <v>25</v>
      </c>
      <c r="H3" s="15" t="s">
        <v>26</v>
      </c>
      <c r="I3" s="15" t="s">
        <v>23</v>
      </c>
      <c r="J3" s="15" t="s">
        <v>24</v>
      </c>
      <c r="K3" s="15" t="s">
        <v>25</v>
      </c>
      <c r="L3" s="15" t="s">
        <v>26</v>
      </c>
      <c r="M3" s="15" t="s">
        <v>23</v>
      </c>
      <c r="N3" s="15" t="s">
        <v>24</v>
      </c>
      <c r="O3" s="15" t="s">
        <v>25</v>
      </c>
      <c r="P3" s="15" t="s">
        <v>26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/>
      <c r="Y3" s="2" t="s">
        <v>5</v>
      </c>
      <c r="Z3" s="2" t="s">
        <v>6</v>
      </c>
      <c r="AA3" s="2" t="s">
        <v>7</v>
      </c>
      <c r="AB3" s="2" t="s">
        <v>8</v>
      </c>
      <c r="AC3" s="2" t="s">
        <v>9</v>
      </c>
      <c r="AD3" s="2" t="s">
        <v>10</v>
      </c>
      <c r="AE3" s="2"/>
      <c r="AF3" s="2" t="s">
        <v>5</v>
      </c>
      <c r="AG3" s="2" t="s">
        <v>6</v>
      </c>
      <c r="AH3" s="2" t="s">
        <v>7</v>
      </c>
      <c r="AI3" s="2" t="s">
        <v>8</v>
      </c>
      <c r="AJ3" s="2" t="s">
        <v>9</v>
      </c>
      <c r="AK3" s="2" t="s">
        <v>10</v>
      </c>
    </row>
    <row r="4" spans="2:37" x14ac:dyDescent="0.25">
      <c r="B4" s="1">
        <v>12</v>
      </c>
      <c r="C4" s="1">
        <v>5</v>
      </c>
      <c r="D4" s="1">
        <v>30</v>
      </c>
      <c r="E4" s="18">
        <v>1.0672443088486046</v>
      </c>
      <c r="F4" s="18">
        <v>0.66890112616565145</v>
      </c>
      <c r="G4" s="18">
        <v>0.76509934264026414</v>
      </c>
      <c r="H4" s="18">
        <v>0.76233384184992636</v>
      </c>
      <c r="I4" s="18">
        <v>1.1646965175332553</v>
      </c>
      <c r="J4" s="18">
        <v>0.74327258280204744</v>
      </c>
      <c r="K4" s="18">
        <v>0.9381033948289994</v>
      </c>
      <c r="L4" s="18">
        <v>0.69433715521985384</v>
      </c>
      <c r="M4" s="18">
        <v>1.3637468943582722</v>
      </c>
      <c r="N4" s="18">
        <v>0.8771136834470894</v>
      </c>
      <c r="O4" s="18">
        <v>1.0358083256588526</v>
      </c>
      <c r="P4" s="18">
        <v>0.69300844904594983</v>
      </c>
      <c r="R4" s="16">
        <f>E4-F4</f>
        <v>0.3983431826829531</v>
      </c>
      <c r="S4" s="16">
        <f>E4-G4</f>
        <v>0.30214496620834042</v>
      </c>
      <c r="T4" s="16">
        <f>E4-H4</f>
        <v>0.30491046699867819</v>
      </c>
      <c r="U4" s="16">
        <f>F4-G4</f>
        <v>-9.6198216474612686E-2</v>
      </c>
      <c r="V4" s="16">
        <f>F4-H4</f>
        <v>-9.3432715684274914E-2</v>
      </c>
      <c r="W4" s="16">
        <f>G4-H4</f>
        <v>2.7655007903377715E-3</v>
      </c>
      <c r="X4" s="16"/>
      <c r="Y4" s="16">
        <f>I4-J4</f>
        <v>0.42142393473120787</v>
      </c>
      <c r="Z4" s="16">
        <f>I4-K4</f>
        <v>0.22659312270425591</v>
      </c>
      <c r="AA4" s="16">
        <f>I4-L4</f>
        <v>0.47035936231340147</v>
      </c>
      <c r="AB4" s="16">
        <f>J4-K4</f>
        <v>-0.19483081202695196</v>
      </c>
      <c r="AC4" s="16">
        <f>J4-L4</f>
        <v>4.8935427582193602E-2</v>
      </c>
      <c r="AD4" s="16">
        <f>K4-L4</f>
        <v>0.24376623960914556</v>
      </c>
      <c r="AE4" s="16"/>
      <c r="AF4" s="16">
        <f>M4-N4</f>
        <v>0.48663321091118283</v>
      </c>
      <c r="AG4" s="16">
        <f>M4-O4</f>
        <v>0.32793856869941962</v>
      </c>
      <c r="AH4" s="16">
        <f>M4-P4</f>
        <v>0.67073844531232241</v>
      </c>
      <c r="AI4" s="16">
        <f>N4-O4</f>
        <v>-0.15869464221176321</v>
      </c>
      <c r="AJ4" s="16">
        <f>N4-P4</f>
        <v>0.18410523440113957</v>
      </c>
      <c r="AK4" s="16">
        <f>O4-P4</f>
        <v>0.34279987661290279</v>
      </c>
    </row>
    <row r="5" spans="2:37" x14ac:dyDescent="0.25">
      <c r="B5" s="1">
        <v>12</v>
      </c>
      <c r="C5" s="1">
        <v>5</v>
      </c>
      <c r="D5" s="1">
        <v>40</v>
      </c>
      <c r="E5" s="18">
        <v>1.1087700573739872</v>
      </c>
      <c r="F5" s="18">
        <v>0.74493962500061794</v>
      </c>
      <c r="G5" s="18">
        <v>0.82996969719319547</v>
      </c>
      <c r="H5" s="18">
        <v>0.66984024523389407</v>
      </c>
      <c r="I5" s="18">
        <v>1.1388973626751309</v>
      </c>
      <c r="J5" s="18">
        <v>0.69800750430134162</v>
      </c>
      <c r="K5" s="18">
        <v>0.84773381995537433</v>
      </c>
      <c r="L5" s="18">
        <v>0.67792451162226608</v>
      </c>
      <c r="M5" s="18">
        <v>1.1685418289776743</v>
      </c>
      <c r="N5" s="18">
        <v>0.70390135713155844</v>
      </c>
      <c r="O5" s="18">
        <v>0.88551558494587079</v>
      </c>
      <c r="P5" s="18">
        <v>0.75114407557168661</v>
      </c>
      <c r="R5" s="16">
        <f t="shared" ref="R5:R30" si="0">E5-F5</f>
        <v>0.36383043237336921</v>
      </c>
      <c r="S5" s="16">
        <f t="shared" ref="S5:S30" si="1">E5-G5</f>
        <v>0.27880036018079168</v>
      </c>
      <c r="T5" s="16">
        <f t="shared" ref="T5:T30" si="2">E5-H5</f>
        <v>0.43892981214009308</v>
      </c>
      <c r="U5" s="16">
        <f t="shared" ref="U5:U30" si="3">F5-G5</f>
        <v>-8.5030072192577522E-2</v>
      </c>
      <c r="V5" s="16">
        <f t="shared" ref="V5:V30" si="4">F5-H5</f>
        <v>7.5099379766723873E-2</v>
      </c>
      <c r="W5" s="16">
        <f t="shared" ref="W5:W30" si="5">G5-H5</f>
        <v>0.16012945195930139</v>
      </c>
      <c r="X5" s="16"/>
      <c r="Y5" s="16">
        <f t="shared" ref="Y5:Y30" si="6">I5-J5</f>
        <v>0.44088985837378925</v>
      </c>
      <c r="Z5" s="16">
        <f t="shared" ref="Z5:Z30" si="7">I5-K5</f>
        <v>0.29116354271975653</v>
      </c>
      <c r="AA5" s="16">
        <f t="shared" ref="AA5:AA30" si="8">I5-L5</f>
        <v>0.46097285105286478</v>
      </c>
      <c r="AB5" s="16">
        <f t="shared" ref="AB5:AB30" si="9">J5-K5</f>
        <v>-0.14972631565403272</v>
      </c>
      <c r="AC5" s="16">
        <f t="shared" ref="AC5:AC30" si="10">J5-L5</f>
        <v>2.008299267907554E-2</v>
      </c>
      <c r="AD5" s="16">
        <f t="shared" ref="AD5:AD30" si="11">K5-L5</f>
        <v>0.16980930833310826</v>
      </c>
      <c r="AE5" s="16"/>
      <c r="AF5" s="16">
        <f t="shared" ref="AF5:AF30" si="12">M5-N5</f>
        <v>0.4646404718461159</v>
      </c>
      <c r="AG5" s="16">
        <f t="shared" ref="AG5:AG30" si="13">M5-O5</f>
        <v>0.28302624403180354</v>
      </c>
      <c r="AH5" s="16">
        <f t="shared" ref="AH5:AH30" si="14">M5-P5</f>
        <v>0.41739775340598773</v>
      </c>
      <c r="AI5" s="16">
        <f t="shared" ref="AI5:AI30" si="15">N5-O5</f>
        <v>-0.18161422781431236</v>
      </c>
      <c r="AJ5" s="16">
        <f t="shared" ref="AJ5:AJ30" si="16">N5-P5</f>
        <v>-4.7242718440128173E-2</v>
      </c>
      <c r="AK5" s="16">
        <f t="shared" ref="AK5:AK30" si="17">O5-P5</f>
        <v>0.13437150937418418</v>
      </c>
    </row>
    <row r="6" spans="2:37" x14ac:dyDescent="0.25">
      <c r="B6" s="1">
        <v>12</v>
      </c>
      <c r="C6" s="1">
        <v>5</v>
      </c>
      <c r="D6" s="1">
        <v>50</v>
      </c>
      <c r="E6" s="18">
        <v>1.0579052597238121</v>
      </c>
      <c r="F6" s="18">
        <v>0.67730896180052069</v>
      </c>
      <c r="G6" s="18">
        <v>0.84426327045031857</v>
      </c>
      <c r="H6" s="18">
        <v>0.73655214412603853</v>
      </c>
      <c r="I6" s="18">
        <v>1.2870488121362165</v>
      </c>
      <c r="J6" s="18">
        <v>0.75039226742750897</v>
      </c>
      <c r="K6" s="18">
        <v>0.95117151555542312</v>
      </c>
      <c r="L6" s="18">
        <v>0.82955043025524</v>
      </c>
      <c r="M6" s="18">
        <v>1.120279614342695</v>
      </c>
      <c r="N6" s="18">
        <v>0.66748120239430619</v>
      </c>
      <c r="O6" s="18">
        <v>0.8831121929255783</v>
      </c>
      <c r="P6" s="18">
        <v>0.6304811870578575</v>
      </c>
      <c r="R6" s="16">
        <f t="shared" si="0"/>
        <v>0.38059629792329142</v>
      </c>
      <c r="S6" s="16">
        <f t="shared" si="1"/>
        <v>0.21364198927349354</v>
      </c>
      <c r="T6" s="16">
        <f t="shared" si="2"/>
        <v>0.32135311559777358</v>
      </c>
      <c r="U6" s="16">
        <f t="shared" si="3"/>
        <v>-0.16695430864979788</v>
      </c>
      <c r="V6" s="16">
        <f t="shared" si="4"/>
        <v>-5.924318232551784E-2</v>
      </c>
      <c r="W6" s="16">
        <f t="shared" si="5"/>
        <v>0.10771112632428004</v>
      </c>
      <c r="X6" s="16"/>
      <c r="Y6" s="16">
        <f t="shared" si="6"/>
        <v>0.53665654470870749</v>
      </c>
      <c r="Z6" s="16">
        <f t="shared" si="7"/>
        <v>0.33587729658079335</v>
      </c>
      <c r="AA6" s="16">
        <f t="shared" si="8"/>
        <v>0.45749838188097647</v>
      </c>
      <c r="AB6" s="16">
        <f t="shared" si="9"/>
        <v>-0.20077924812791414</v>
      </c>
      <c r="AC6" s="16">
        <f t="shared" si="10"/>
        <v>-7.9158162827731027E-2</v>
      </c>
      <c r="AD6" s="16">
        <f t="shared" si="11"/>
        <v>0.12162108530018312</v>
      </c>
      <c r="AE6" s="16"/>
      <c r="AF6" s="16">
        <f t="shared" si="12"/>
        <v>0.45279841194838877</v>
      </c>
      <c r="AG6" s="16">
        <f t="shared" si="13"/>
        <v>0.23716742141711666</v>
      </c>
      <c r="AH6" s="16">
        <f t="shared" si="14"/>
        <v>0.48979842728483747</v>
      </c>
      <c r="AI6" s="16">
        <f t="shared" si="15"/>
        <v>-0.2156309905312721</v>
      </c>
      <c r="AJ6" s="16">
        <f t="shared" si="16"/>
        <v>3.7000015336448699E-2</v>
      </c>
      <c r="AK6" s="16">
        <f t="shared" si="17"/>
        <v>0.2526310058677208</v>
      </c>
    </row>
    <row r="7" spans="2:37" x14ac:dyDescent="0.25">
      <c r="B7" s="1">
        <v>12</v>
      </c>
      <c r="C7" s="1">
        <v>10</v>
      </c>
      <c r="D7" s="1">
        <v>30</v>
      </c>
      <c r="E7" s="18">
        <v>1.1375907916494179</v>
      </c>
      <c r="F7" s="18">
        <v>0.71811350394119211</v>
      </c>
      <c r="G7" s="18">
        <v>0.71988462736817849</v>
      </c>
      <c r="H7" s="18">
        <v>0.65300214469988149</v>
      </c>
      <c r="I7" s="18">
        <v>1.2899934696876214</v>
      </c>
      <c r="J7" s="18">
        <v>0.8485787997060934</v>
      </c>
      <c r="K7" s="18">
        <v>0.96899928247133216</v>
      </c>
      <c r="L7" s="18">
        <v>0.62259816387688061</v>
      </c>
      <c r="M7" s="18">
        <v>1.2281299885035981</v>
      </c>
      <c r="N7" s="18">
        <v>0.85667236805526437</v>
      </c>
      <c r="O7" s="18">
        <v>0.88232649072380753</v>
      </c>
      <c r="P7" s="18">
        <v>0.70055060654207224</v>
      </c>
      <c r="R7" s="16">
        <f t="shared" si="0"/>
        <v>0.41947728770822579</v>
      </c>
      <c r="S7" s="16">
        <f t="shared" si="1"/>
        <v>0.41770616428123941</v>
      </c>
      <c r="T7" s="16">
        <f t="shared" si="2"/>
        <v>0.48458864694953641</v>
      </c>
      <c r="U7" s="16">
        <f t="shared" si="3"/>
        <v>-1.7711234269863763E-3</v>
      </c>
      <c r="V7" s="16">
        <f t="shared" si="4"/>
        <v>6.5111359241310618E-2</v>
      </c>
      <c r="W7" s="16">
        <f t="shared" si="5"/>
        <v>6.6882482668296994E-2</v>
      </c>
      <c r="X7" s="16"/>
      <c r="Y7" s="16">
        <f t="shared" si="6"/>
        <v>0.44141466998152801</v>
      </c>
      <c r="Z7" s="16">
        <f t="shared" si="7"/>
        <v>0.32099418721628925</v>
      </c>
      <c r="AA7" s="16">
        <f t="shared" si="8"/>
        <v>0.6673953058107408</v>
      </c>
      <c r="AB7" s="16">
        <f t="shared" si="9"/>
        <v>-0.12042048276523876</v>
      </c>
      <c r="AC7" s="16">
        <f t="shared" si="10"/>
        <v>0.22598063582921279</v>
      </c>
      <c r="AD7" s="16">
        <f t="shared" si="11"/>
        <v>0.34640111859445155</v>
      </c>
      <c r="AE7" s="16"/>
      <c r="AF7" s="16">
        <f t="shared" si="12"/>
        <v>0.37145762044833375</v>
      </c>
      <c r="AG7" s="16">
        <f t="shared" si="13"/>
        <v>0.34580349777979058</v>
      </c>
      <c r="AH7" s="16">
        <f t="shared" si="14"/>
        <v>0.52757938196152587</v>
      </c>
      <c r="AI7" s="16">
        <f t="shared" si="15"/>
        <v>-2.5654122668543167E-2</v>
      </c>
      <c r="AJ7" s="16">
        <f t="shared" si="16"/>
        <v>0.15612176151319213</v>
      </c>
      <c r="AK7" s="16">
        <f t="shared" si="17"/>
        <v>0.18177588418173529</v>
      </c>
    </row>
    <row r="8" spans="2:37" x14ac:dyDescent="0.25">
      <c r="B8" s="1">
        <v>12</v>
      </c>
      <c r="C8" s="1">
        <v>10</v>
      </c>
      <c r="D8" s="1">
        <v>40</v>
      </c>
      <c r="E8" s="18">
        <v>1.0663529450517495</v>
      </c>
      <c r="F8" s="18">
        <v>0.7138919643996261</v>
      </c>
      <c r="G8" s="18">
        <v>0.77843111880286409</v>
      </c>
      <c r="H8" s="18">
        <v>0.66742003060925859</v>
      </c>
      <c r="I8" s="18">
        <v>1.272624589235571</v>
      </c>
      <c r="J8" s="18">
        <v>0.6873238077905135</v>
      </c>
      <c r="K8" s="18">
        <v>0.91859433804743751</v>
      </c>
      <c r="L8" s="18">
        <v>0.73680509306423669</v>
      </c>
      <c r="M8" s="18">
        <v>1.1408548351229901</v>
      </c>
      <c r="N8" s="18">
        <v>0.73485930213198514</v>
      </c>
      <c r="O8" s="18">
        <v>0.85955523009553225</v>
      </c>
      <c r="P8" s="18">
        <v>0.70711985905897701</v>
      </c>
      <c r="R8" s="16">
        <f t="shared" si="0"/>
        <v>0.35246098065212339</v>
      </c>
      <c r="S8" s="16">
        <f t="shared" si="1"/>
        <v>0.2879218262488854</v>
      </c>
      <c r="T8" s="16">
        <f t="shared" si="2"/>
        <v>0.3989329144424909</v>
      </c>
      <c r="U8" s="16">
        <f t="shared" si="3"/>
        <v>-6.4539154403237986E-2</v>
      </c>
      <c r="V8" s="16">
        <f t="shared" si="4"/>
        <v>4.6471933790367514E-2</v>
      </c>
      <c r="W8" s="16">
        <f t="shared" si="5"/>
        <v>0.1110110881936055</v>
      </c>
      <c r="X8" s="16"/>
      <c r="Y8" s="16">
        <f t="shared" si="6"/>
        <v>0.58530078144505748</v>
      </c>
      <c r="Z8" s="16">
        <f t="shared" si="7"/>
        <v>0.35403025118813347</v>
      </c>
      <c r="AA8" s="16">
        <f t="shared" si="8"/>
        <v>0.53581949617133429</v>
      </c>
      <c r="AB8" s="16">
        <f t="shared" si="9"/>
        <v>-0.23127053025692401</v>
      </c>
      <c r="AC8" s="16">
        <f t="shared" si="10"/>
        <v>-4.9481285273723197E-2</v>
      </c>
      <c r="AD8" s="16">
        <f t="shared" si="11"/>
        <v>0.18178924498320082</v>
      </c>
      <c r="AE8" s="16"/>
      <c r="AF8" s="16">
        <f t="shared" si="12"/>
        <v>0.40599553299100499</v>
      </c>
      <c r="AG8" s="16">
        <f t="shared" si="13"/>
        <v>0.28129960502745788</v>
      </c>
      <c r="AH8" s="16">
        <f t="shared" si="14"/>
        <v>0.43373497606401312</v>
      </c>
      <c r="AI8" s="16">
        <f t="shared" si="15"/>
        <v>-0.12469592796354712</v>
      </c>
      <c r="AJ8" s="16">
        <f t="shared" si="16"/>
        <v>2.773944307300813E-2</v>
      </c>
      <c r="AK8" s="16">
        <f t="shared" si="17"/>
        <v>0.15243537103655525</v>
      </c>
    </row>
    <row r="9" spans="2:37" x14ac:dyDescent="0.25">
      <c r="B9" s="1">
        <v>12</v>
      </c>
      <c r="C9" s="1">
        <v>10</v>
      </c>
      <c r="D9" s="1">
        <v>50</v>
      </c>
      <c r="E9" s="18">
        <v>1.0240611877703059</v>
      </c>
      <c r="F9" s="18">
        <v>0.65400402963803717</v>
      </c>
      <c r="G9" s="18">
        <v>0.77178542654942994</v>
      </c>
      <c r="H9" s="18">
        <v>0.69594088657245468</v>
      </c>
      <c r="I9" s="18">
        <v>1.1836234798159591</v>
      </c>
      <c r="J9" s="18">
        <v>0.78225860650555457</v>
      </c>
      <c r="K9" s="18">
        <v>0.80834103388508916</v>
      </c>
      <c r="L9" s="18">
        <v>0.80812820576687405</v>
      </c>
      <c r="M9" s="18">
        <v>1.2335740552673886</v>
      </c>
      <c r="N9" s="18">
        <v>0.79655335039747122</v>
      </c>
      <c r="O9" s="18">
        <v>0.87664106465114477</v>
      </c>
      <c r="P9" s="18">
        <v>0.72189309572121285</v>
      </c>
      <c r="R9" s="16">
        <f t="shared" si="0"/>
        <v>0.37005715813226869</v>
      </c>
      <c r="S9" s="16">
        <f t="shared" si="1"/>
        <v>0.25227576122087592</v>
      </c>
      <c r="T9" s="16">
        <f t="shared" si="2"/>
        <v>0.32812030119785118</v>
      </c>
      <c r="U9" s="16">
        <f t="shared" si="3"/>
        <v>-0.11778139691139278</v>
      </c>
      <c r="V9" s="16">
        <f t="shared" si="4"/>
        <v>-4.193685693441751E-2</v>
      </c>
      <c r="W9" s="16">
        <f t="shared" si="5"/>
        <v>7.5844539976975267E-2</v>
      </c>
      <c r="X9" s="16"/>
      <c r="Y9" s="16">
        <f t="shared" si="6"/>
        <v>0.40136487331040449</v>
      </c>
      <c r="Z9" s="16">
        <f t="shared" si="7"/>
        <v>0.3752824459308699</v>
      </c>
      <c r="AA9" s="16">
        <f t="shared" si="8"/>
        <v>0.375495274049085</v>
      </c>
      <c r="AB9" s="16">
        <f t="shared" si="9"/>
        <v>-2.608242737953459E-2</v>
      </c>
      <c r="AC9" s="16">
        <f t="shared" si="10"/>
        <v>-2.5869599261319487E-2</v>
      </c>
      <c r="AD9" s="16">
        <f t="shared" si="11"/>
        <v>2.1282811821510261E-4</v>
      </c>
      <c r="AE9" s="16"/>
      <c r="AF9" s="16">
        <f t="shared" si="12"/>
        <v>0.4370207048699174</v>
      </c>
      <c r="AG9" s="16">
        <f t="shared" si="13"/>
        <v>0.35693299061624384</v>
      </c>
      <c r="AH9" s="16">
        <f t="shared" si="14"/>
        <v>0.51168095954617576</v>
      </c>
      <c r="AI9" s="16">
        <f t="shared" si="15"/>
        <v>-8.0087714253673559E-2</v>
      </c>
      <c r="AJ9" s="16">
        <f t="shared" si="16"/>
        <v>7.4660254676258364E-2</v>
      </c>
      <c r="AK9" s="16">
        <f t="shared" si="17"/>
        <v>0.15474796892993192</v>
      </c>
    </row>
    <row r="10" spans="2:37" x14ac:dyDescent="0.25">
      <c r="B10" s="1">
        <v>12</v>
      </c>
      <c r="C10" s="1">
        <v>15</v>
      </c>
      <c r="D10" s="1">
        <v>30</v>
      </c>
      <c r="E10" s="18">
        <v>1.1128052000610285</v>
      </c>
      <c r="F10" s="18">
        <v>0.84446297315464069</v>
      </c>
      <c r="G10" s="18">
        <v>0.7742705657268717</v>
      </c>
      <c r="H10" s="18">
        <v>0.72361752684700908</v>
      </c>
      <c r="I10" s="18">
        <v>1.1577779035801832</v>
      </c>
      <c r="J10" s="18">
        <v>0.83554505127125211</v>
      </c>
      <c r="K10" s="18">
        <v>0.82358412434647943</v>
      </c>
      <c r="L10" s="18">
        <v>0.68096937477698849</v>
      </c>
      <c r="M10" s="18">
        <v>1.2357654916850023</v>
      </c>
      <c r="N10" s="18">
        <v>0.85310293720086094</v>
      </c>
      <c r="O10" s="18">
        <v>0.88882233277963485</v>
      </c>
      <c r="P10" s="18">
        <v>0.71597645566348711</v>
      </c>
      <c r="R10" s="16">
        <f t="shared" si="0"/>
        <v>0.26834222690638776</v>
      </c>
      <c r="S10" s="16">
        <f t="shared" si="1"/>
        <v>0.33853463433415676</v>
      </c>
      <c r="T10" s="16">
        <f t="shared" si="2"/>
        <v>0.38918767321401937</v>
      </c>
      <c r="U10" s="16">
        <f t="shared" si="3"/>
        <v>7.0192407427768999E-2</v>
      </c>
      <c r="V10" s="16">
        <f t="shared" si="4"/>
        <v>0.12084544630763161</v>
      </c>
      <c r="W10" s="16">
        <f t="shared" si="5"/>
        <v>5.0653038879862611E-2</v>
      </c>
      <c r="X10" s="16"/>
      <c r="Y10" s="16">
        <f t="shared" si="6"/>
        <v>0.32223285230893106</v>
      </c>
      <c r="Z10" s="16">
        <f t="shared" si="7"/>
        <v>0.33419377923370375</v>
      </c>
      <c r="AA10" s="16">
        <f t="shared" si="8"/>
        <v>0.47680852880319469</v>
      </c>
      <c r="AB10" s="16">
        <f t="shared" si="9"/>
        <v>1.1960926924772686E-2</v>
      </c>
      <c r="AC10" s="16">
        <f t="shared" si="10"/>
        <v>0.15457567649426363</v>
      </c>
      <c r="AD10" s="16">
        <f t="shared" si="11"/>
        <v>0.14261474956949094</v>
      </c>
      <c r="AE10" s="16"/>
      <c r="AF10" s="16">
        <f t="shared" si="12"/>
        <v>0.38266255448414133</v>
      </c>
      <c r="AG10" s="16">
        <f t="shared" si="13"/>
        <v>0.34694315890536742</v>
      </c>
      <c r="AH10" s="16">
        <f t="shared" si="14"/>
        <v>0.51978903602151516</v>
      </c>
      <c r="AI10" s="16">
        <f t="shared" si="15"/>
        <v>-3.5719395578773905E-2</v>
      </c>
      <c r="AJ10" s="16">
        <f t="shared" si="16"/>
        <v>0.13712648153737383</v>
      </c>
      <c r="AK10" s="16">
        <f t="shared" si="17"/>
        <v>0.17284587711614774</v>
      </c>
    </row>
    <row r="11" spans="2:37" x14ac:dyDescent="0.25">
      <c r="B11" s="1">
        <v>12</v>
      </c>
      <c r="C11" s="1">
        <v>15</v>
      </c>
      <c r="D11" s="1">
        <v>40</v>
      </c>
      <c r="E11" s="18">
        <v>1.033724495677288</v>
      </c>
      <c r="F11" s="18">
        <v>0.80479977298257666</v>
      </c>
      <c r="G11" s="18">
        <v>0.82009683988950977</v>
      </c>
      <c r="H11" s="18">
        <v>0.70180287119787832</v>
      </c>
      <c r="I11" s="18">
        <v>1.0735582213952184</v>
      </c>
      <c r="J11" s="18">
        <v>0.7851265915243173</v>
      </c>
      <c r="K11" s="18">
        <v>0.96628473361513334</v>
      </c>
      <c r="L11" s="18">
        <v>0.725163794483216</v>
      </c>
      <c r="M11" s="18">
        <v>1.2920439527486338</v>
      </c>
      <c r="N11" s="18">
        <v>0.75815165113333194</v>
      </c>
      <c r="O11" s="18">
        <v>0.95999388794725893</v>
      </c>
      <c r="P11" s="18">
        <v>0.65959155678877845</v>
      </c>
      <c r="R11" s="16">
        <f t="shared" si="0"/>
        <v>0.22892472269471131</v>
      </c>
      <c r="S11" s="16">
        <f t="shared" si="1"/>
        <v>0.2136276557877782</v>
      </c>
      <c r="T11" s="16">
        <f t="shared" si="2"/>
        <v>0.33192162447940965</v>
      </c>
      <c r="U11" s="16">
        <f t="shared" si="3"/>
        <v>-1.529706690693311E-2</v>
      </c>
      <c r="V11" s="16">
        <f t="shared" si="4"/>
        <v>0.10299690178469834</v>
      </c>
      <c r="W11" s="16">
        <f t="shared" si="5"/>
        <v>0.11829396869163145</v>
      </c>
      <c r="X11" s="16"/>
      <c r="Y11" s="16">
        <f t="shared" si="6"/>
        <v>0.2884316298709011</v>
      </c>
      <c r="Z11" s="16">
        <f t="shared" si="7"/>
        <v>0.10727348778008505</v>
      </c>
      <c r="AA11" s="16">
        <f t="shared" si="8"/>
        <v>0.3483944269120024</v>
      </c>
      <c r="AB11" s="16">
        <f t="shared" si="9"/>
        <v>-0.18115814209081604</v>
      </c>
      <c r="AC11" s="16">
        <f t="shared" si="10"/>
        <v>5.9962797041101301E-2</v>
      </c>
      <c r="AD11" s="16">
        <f t="shared" si="11"/>
        <v>0.24112093913191734</v>
      </c>
      <c r="AE11" s="16"/>
      <c r="AF11" s="16">
        <f t="shared" si="12"/>
        <v>0.53389230161530188</v>
      </c>
      <c r="AG11" s="16">
        <f t="shared" si="13"/>
        <v>0.33205006480137489</v>
      </c>
      <c r="AH11" s="16">
        <f t="shared" si="14"/>
        <v>0.63245239595985536</v>
      </c>
      <c r="AI11" s="16">
        <f t="shared" si="15"/>
        <v>-0.20184223681392699</v>
      </c>
      <c r="AJ11" s="16">
        <f t="shared" si="16"/>
        <v>9.8560094344553484E-2</v>
      </c>
      <c r="AK11" s="16">
        <f t="shared" si="17"/>
        <v>0.30040233115848047</v>
      </c>
    </row>
    <row r="12" spans="2:37" x14ac:dyDescent="0.25">
      <c r="B12" s="1">
        <v>12</v>
      </c>
      <c r="C12" s="1">
        <v>15</v>
      </c>
      <c r="D12" s="1">
        <v>50</v>
      </c>
      <c r="E12" s="18">
        <v>1.0258275791031244</v>
      </c>
      <c r="F12" s="18">
        <v>0.68550222678501282</v>
      </c>
      <c r="G12" s="18">
        <v>0.76736108252456392</v>
      </c>
      <c r="H12" s="18">
        <v>0.70980838555493619</v>
      </c>
      <c r="I12" s="18">
        <v>1.1045527906980743</v>
      </c>
      <c r="J12" s="18">
        <v>0.74920147049702179</v>
      </c>
      <c r="K12" s="18">
        <v>0.81113349096431142</v>
      </c>
      <c r="L12" s="18">
        <v>0.71277832380000272</v>
      </c>
      <c r="M12" s="18">
        <v>1.171411625066888</v>
      </c>
      <c r="N12" s="18">
        <v>0.81369183498832265</v>
      </c>
      <c r="O12" s="18">
        <v>0.86192364908876551</v>
      </c>
      <c r="P12" s="18">
        <v>0.70549298187851472</v>
      </c>
      <c r="R12" s="16">
        <f t="shared" si="0"/>
        <v>0.34032535231811156</v>
      </c>
      <c r="S12" s="16">
        <f t="shared" si="1"/>
        <v>0.25846649657856047</v>
      </c>
      <c r="T12" s="16">
        <f t="shared" si="2"/>
        <v>0.31601919354818819</v>
      </c>
      <c r="U12" s="16">
        <f t="shared" si="3"/>
        <v>-8.1858855739551095E-2</v>
      </c>
      <c r="V12" s="16">
        <f t="shared" si="4"/>
        <v>-2.4306158769923369E-2</v>
      </c>
      <c r="W12" s="16">
        <f t="shared" si="5"/>
        <v>5.7552696969627726E-2</v>
      </c>
      <c r="X12" s="16"/>
      <c r="Y12" s="16">
        <f t="shared" si="6"/>
        <v>0.35535132020105253</v>
      </c>
      <c r="Z12" s="16">
        <f t="shared" si="7"/>
        <v>0.29341929973376291</v>
      </c>
      <c r="AA12" s="16">
        <f t="shared" si="8"/>
        <v>0.3917744668980716</v>
      </c>
      <c r="AB12" s="16">
        <f t="shared" si="9"/>
        <v>-6.1932020467289628E-2</v>
      </c>
      <c r="AC12" s="16">
        <f t="shared" si="10"/>
        <v>3.6423146697019071E-2</v>
      </c>
      <c r="AD12" s="16">
        <f t="shared" si="11"/>
        <v>9.8355167164308699E-2</v>
      </c>
      <c r="AE12" s="16"/>
      <c r="AF12" s="16">
        <f t="shared" si="12"/>
        <v>0.35771979007856536</v>
      </c>
      <c r="AG12" s="16">
        <f t="shared" si="13"/>
        <v>0.3094879759781225</v>
      </c>
      <c r="AH12" s="16">
        <f t="shared" si="14"/>
        <v>0.46591864318837328</v>
      </c>
      <c r="AI12" s="16">
        <f t="shared" si="15"/>
        <v>-4.823181410044286E-2</v>
      </c>
      <c r="AJ12" s="16">
        <f t="shared" si="16"/>
        <v>0.10819885310980792</v>
      </c>
      <c r="AK12" s="16">
        <f t="shared" si="17"/>
        <v>0.15643066721025078</v>
      </c>
    </row>
    <row r="13" spans="2:37" x14ac:dyDescent="0.25">
      <c r="B13" s="1">
        <v>16</v>
      </c>
      <c r="C13" s="1">
        <v>5</v>
      </c>
      <c r="D13" s="1">
        <v>30</v>
      </c>
      <c r="E13" s="18">
        <v>1.130944362237146</v>
      </c>
      <c r="F13" s="18">
        <v>0.74598284341323384</v>
      </c>
      <c r="G13" s="18">
        <v>0.84972245693456094</v>
      </c>
      <c r="H13" s="18">
        <v>0.69462997224396195</v>
      </c>
      <c r="I13" s="18">
        <v>1.0985698545230778</v>
      </c>
      <c r="J13" s="18">
        <v>0.74770680956174029</v>
      </c>
      <c r="K13" s="18">
        <v>0.84734914748775358</v>
      </c>
      <c r="L13" s="18">
        <v>0.67218187036091837</v>
      </c>
      <c r="M13" s="18">
        <v>1.1333176132052882</v>
      </c>
      <c r="N13" s="18">
        <v>0.67381177139677284</v>
      </c>
      <c r="O13" s="18">
        <v>0.84490998498981595</v>
      </c>
      <c r="P13" s="18">
        <v>0.63290167588028656</v>
      </c>
      <c r="R13" s="16">
        <f t="shared" si="0"/>
        <v>0.38496151882391216</v>
      </c>
      <c r="S13" s="16">
        <f t="shared" si="1"/>
        <v>0.28122190530258506</v>
      </c>
      <c r="T13" s="16">
        <f t="shared" si="2"/>
        <v>0.43631438999318406</v>
      </c>
      <c r="U13" s="16">
        <f t="shared" si="3"/>
        <v>-0.1037396135213271</v>
      </c>
      <c r="V13" s="16">
        <f t="shared" si="4"/>
        <v>5.1352871169271896E-2</v>
      </c>
      <c r="W13" s="16">
        <f t="shared" si="5"/>
        <v>0.155092484690599</v>
      </c>
      <c r="X13" s="16"/>
      <c r="Y13" s="16">
        <f t="shared" si="6"/>
        <v>0.35086304496133747</v>
      </c>
      <c r="Z13" s="16">
        <f t="shared" si="7"/>
        <v>0.25122070703532418</v>
      </c>
      <c r="AA13" s="16">
        <f t="shared" si="8"/>
        <v>0.42638798416215939</v>
      </c>
      <c r="AB13" s="16">
        <f t="shared" si="9"/>
        <v>-9.9642337926013291E-2</v>
      </c>
      <c r="AC13" s="16">
        <f t="shared" si="10"/>
        <v>7.5524939200821928E-2</v>
      </c>
      <c r="AD13" s="16">
        <f t="shared" si="11"/>
        <v>0.17516727712683522</v>
      </c>
      <c r="AE13" s="16"/>
      <c r="AF13" s="16">
        <f t="shared" si="12"/>
        <v>0.45950584180851539</v>
      </c>
      <c r="AG13" s="16">
        <f t="shared" si="13"/>
        <v>0.28840762821547228</v>
      </c>
      <c r="AH13" s="16">
        <f t="shared" si="14"/>
        <v>0.50041593732500167</v>
      </c>
      <c r="AI13" s="16">
        <f t="shared" si="15"/>
        <v>-0.17109821359304311</v>
      </c>
      <c r="AJ13" s="16">
        <f t="shared" si="16"/>
        <v>4.0910095516486278E-2</v>
      </c>
      <c r="AK13" s="16">
        <f t="shared" si="17"/>
        <v>0.21200830910952939</v>
      </c>
    </row>
    <row r="14" spans="2:37" x14ac:dyDescent="0.25">
      <c r="B14" s="1">
        <v>16</v>
      </c>
      <c r="C14" s="1">
        <v>5</v>
      </c>
      <c r="D14" s="1">
        <v>40</v>
      </c>
      <c r="E14" s="18">
        <v>1.1421824603915809</v>
      </c>
      <c r="F14" s="18">
        <v>0.79383973194978241</v>
      </c>
      <c r="G14" s="18">
        <v>0.81425820937579851</v>
      </c>
      <c r="H14" s="18">
        <v>0.73926190873994102</v>
      </c>
      <c r="I14" s="18">
        <v>1.047728274270193</v>
      </c>
      <c r="J14" s="18">
        <v>0.73412263281182899</v>
      </c>
      <c r="K14" s="18">
        <v>0.71832094579170902</v>
      </c>
      <c r="L14" s="18">
        <v>0.58842222036163871</v>
      </c>
      <c r="M14" s="18">
        <v>1.1315247562104234</v>
      </c>
      <c r="N14" s="18">
        <v>0.75857315701822148</v>
      </c>
      <c r="O14" s="18">
        <v>0.80134248627932059</v>
      </c>
      <c r="P14" s="18">
        <v>0.68827346526114908</v>
      </c>
      <c r="R14" s="16">
        <f t="shared" si="0"/>
        <v>0.34834272844179848</v>
      </c>
      <c r="S14" s="16">
        <f t="shared" si="1"/>
        <v>0.32792425101578238</v>
      </c>
      <c r="T14" s="16">
        <f t="shared" si="2"/>
        <v>0.40292055165163987</v>
      </c>
      <c r="U14" s="16">
        <f t="shared" si="3"/>
        <v>-2.0418477426016102E-2</v>
      </c>
      <c r="V14" s="16">
        <f t="shared" si="4"/>
        <v>5.4577823209841392E-2</v>
      </c>
      <c r="W14" s="16">
        <f t="shared" si="5"/>
        <v>7.4996300635857494E-2</v>
      </c>
      <c r="X14" s="16"/>
      <c r="Y14" s="16">
        <f t="shared" si="6"/>
        <v>0.313605641458364</v>
      </c>
      <c r="Z14" s="16">
        <f t="shared" si="7"/>
        <v>0.32940732847848397</v>
      </c>
      <c r="AA14" s="16">
        <f t="shared" si="8"/>
        <v>0.45930605390855428</v>
      </c>
      <c r="AB14" s="16">
        <f t="shared" si="9"/>
        <v>1.580168702011997E-2</v>
      </c>
      <c r="AC14" s="16">
        <f t="shared" si="10"/>
        <v>0.14570041245019028</v>
      </c>
      <c r="AD14" s="16">
        <f t="shared" si="11"/>
        <v>0.12989872543007031</v>
      </c>
      <c r="AE14" s="16"/>
      <c r="AF14" s="16">
        <f t="shared" si="12"/>
        <v>0.37295159919220189</v>
      </c>
      <c r="AG14" s="16">
        <f t="shared" si="13"/>
        <v>0.33018226993110278</v>
      </c>
      <c r="AH14" s="16">
        <f t="shared" si="14"/>
        <v>0.44325129094927429</v>
      </c>
      <c r="AI14" s="16">
        <f t="shared" si="15"/>
        <v>-4.2769329261099109E-2</v>
      </c>
      <c r="AJ14" s="16">
        <f t="shared" si="16"/>
        <v>7.0299691757072402E-2</v>
      </c>
      <c r="AK14" s="16">
        <f t="shared" si="17"/>
        <v>0.11306902101817151</v>
      </c>
    </row>
    <row r="15" spans="2:37" x14ac:dyDescent="0.25">
      <c r="B15" s="1">
        <v>16</v>
      </c>
      <c r="C15" s="1">
        <v>5</v>
      </c>
      <c r="D15" s="1">
        <v>50</v>
      </c>
      <c r="E15" s="18">
        <v>1.0502588490412443</v>
      </c>
      <c r="F15" s="18">
        <v>0.6898597282514396</v>
      </c>
      <c r="G15" s="18">
        <v>0.84381782715803477</v>
      </c>
      <c r="H15" s="18">
        <v>0.66941438073912563</v>
      </c>
      <c r="I15" s="18">
        <v>1.0290184692430122</v>
      </c>
      <c r="J15" s="18">
        <v>0.65440099576628474</v>
      </c>
      <c r="K15" s="18">
        <v>0.71148260365654648</v>
      </c>
      <c r="L15" s="18">
        <v>0.66542740799255407</v>
      </c>
      <c r="M15" s="18">
        <v>1.0554384575861433</v>
      </c>
      <c r="N15" s="18">
        <v>0.69100087987478021</v>
      </c>
      <c r="O15" s="18">
        <v>0.82008854172905377</v>
      </c>
      <c r="P15" s="18">
        <v>0.63743873706382637</v>
      </c>
      <c r="R15" s="16">
        <f t="shared" si="0"/>
        <v>0.36039912078980474</v>
      </c>
      <c r="S15" s="16">
        <f t="shared" si="1"/>
        <v>0.20644102188320956</v>
      </c>
      <c r="T15" s="16">
        <f t="shared" si="2"/>
        <v>0.38084446830211871</v>
      </c>
      <c r="U15" s="16">
        <f t="shared" si="3"/>
        <v>-0.15395809890659518</v>
      </c>
      <c r="V15" s="16">
        <f t="shared" si="4"/>
        <v>2.0445347512313972E-2</v>
      </c>
      <c r="W15" s="16">
        <f t="shared" si="5"/>
        <v>0.17440344641890915</v>
      </c>
      <c r="X15" s="16"/>
      <c r="Y15" s="16">
        <f t="shared" si="6"/>
        <v>0.37461747347672747</v>
      </c>
      <c r="Z15" s="16">
        <f t="shared" si="7"/>
        <v>0.31753586558646574</v>
      </c>
      <c r="AA15" s="16">
        <f t="shared" si="8"/>
        <v>0.36359106125045815</v>
      </c>
      <c r="AB15" s="16">
        <f t="shared" si="9"/>
        <v>-5.7081607890261732E-2</v>
      </c>
      <c r="AC15" s="16">
        <f t="shared" si="10"/>
        <v>-1.1026412226269322E-2</v>
      </c>
      <c r="AD15" s="16">
        <f t="shared" si="11"/>
        <v>4.605519566399241E-2</v>
      </c>
      <c r="AE15" s="16"/>
      <c r="AF15" s="16">
        <f t="shared" si="12"/>
        <v>0.36443757771136309</v>
      </c>
      <c r="AG15" s="16">
        <f t="shared" si="13"/>
        <v>0.23534991585708953</v>
      </c>
      <c r="AH15" s="16">
        <f t="shared" si="14"/>
        <v>0.41799972052231693</v>
      </c>
      <c r="AI15" s="16">
        <f t="shared" si="15"/>
        <v>-0.12908766185427356</v>
      </c>
      <c r="AJ15" s="16">
        <f t="shared" si="16"/>
        <v>5.3562142810953839E-2</v>
      </c>
      <c r="AK15" s="16">
        <f t="shared" si="17"/>
        <v>0.1826498046652274</v>
      </c>
    </row>
    <row r="16" spans="2:37" x14ac:dyDescent="0.25">
      <c r="B16" s="1">
        <v>16</v>
      </c>
      <c r="C16" s="1">
        <v>10</v>
      </c>
      <c r="D16" s="1">
        <v>30</v>
      </c>
      <c r="E16" s="18">
        <v>1.0876710409482908</v>
      </c>
      <c r="F16" s="18">
        <v>0.72921878570507581</v>
      </c>
      <c r="G16" s="18">
        <v>0.76503574372410754</v>
      </c>
      <c r="H16" s="18">
        <v>0.65889029767511276</v>
      </c>
      <c r="I16" s="18">
        <v>1.1402649909457729</v>
      </c>
      <c r="J16" s="18">
        <v>0.75889482783896534</v>
      </c>
      <c r="K16" s="18">
        <v>0.96643364529308984</v>
      </c>
      <c r="L16" s="18">
        <v>0.68841228650671693</v>
      </c>
      <c r="M16" s="18">
        <v>1.2848486113479602</v>
      </c>
      <c r="N16" s="18">
        <v>0.95599376563651506</v>
      </c>
      <c r="O16" s="18">
        <v>0.89832730222579771</v>
      </c>
      <c r="P16" s="18">
        <v>0.63988331202800031</v>
      </c>
      <c r="R16" s="16">
        <f t="shared" si="0"/>
        <v>0.358452255243215</v>
      </c>
      <c r="S16" s="16">
        <f t="shared" si="1"/>
        <v>0.32263529722418327</v>
      </c>
      <c r="T16" s="16">
        <f t="shared" si="2"/>
        <v>0.42878074327317806</v>
      </c>
      <c r="U16" s="16">
        <f t="shared" si="3"/>
        <v>-3.581695801903173E-2</v>
      </c>
      <c r="V16" s="16">
        <f t="shared" si="4"/>
        <v>7.0328488029963054E-2</v>
      </c>
      <c r="W16" s="16">
        <f t="shared" si="5"/>
        <v>0.10614544604899478</v>
      </c>
      <c r="X16" s="16"/>
      <c r="Y16" s="16">
        <f t="shared" si="6"/>
        <v>0.3813701631068076</v>
      </c>
      <c r="Z16" s="16">
        <f t="shared" si="7"/>
        <v>0.1738313456526831</v>
      </c>
      <c r="AA16" s="16">
        <f t="shared" si="8"/>
        <v>0.45185270443905601</v>
      </c>
      <c r="AB16" s="16">
        <f t="shared" si="9"/>
        <v>-0.2075388174541245</v>
      </c>
      <c r="AC16" s="16">
        <f t="shared" si="10"/>
        <v>7.0482541332248405E-2</v>
      </c>
      <c r="AD16" s="16">
        <f t="shared" si="11"/>
        <v>0.27802135878637291</v>
      </c>
      <c r="AE16" s="16"/>
      <c r="AF16" s="16">
        <f t="shared" si="12"/>
        <v>0.32885484571144519</v>
      </c>
      <c r="AG16" s="16">
        <f t="shared" si="13"/>
        <v>0.38652130912216254</v>
      </c>
      <c r="AH16" s="16">
        <f t="shared" si="14"/>
        <v>0.64496529931995994</v>
      </c>
      <c r="AI16" s="16">
        <f t="shared" si="15"/>
        <v>5.766646341071735E-2</v>
      </c>
      <c r="AJ16" s="16">
        <f t="shared" si="16"/>
        <v>0.31611045360851475</v>
      </c>
      <c r="AK16" s="16">
        <f t="shared" si="17"/>
        <v>0.2584439901977974</v>
      </c>
    </row>
    <row r="17" spans="2:37" x14ac:dyDescent="0.25">
      <c r="B17" s="1">
        <v>16</v>
      </c>
      <c r="C17" s="1">
        <v>10</v>
      </c>
      <c r="D17" s="1">
        <v>40</v>
      </c>
      <c r="E17" s="18">
        <v>1.1065382027378292</v>
      </c>
      <c r="F17" s="18">
        <v>0.7832923230378237</v>
      </c>
      <c r="G17" s="18">
        <v>0.81789515411400571</v>
      </c>
      <c r="H17" s="18">
        <v>0.66754608771127888</v>
      </c>
      <c r="I17" s="18">
        <v>1.1484065144730606</v>
      </c>
      <c r="J17" s="18">
        <v>0.79810242916695673</v>
      </c>
      <c r="K17" s="18">
        <v>0.8849553561689637</v>
      </c>
      <c r="L17" s="18">
        <v>0.66877179487577809</v>
      </c>
      <c r="M17" s="18">
        <v>1.1289783096666788</v>
      </c>
      <c r="N17" s="18">
        <v>0.74864217999004823</v>
      </c>
      <c r="O17" s="18">
        <v>0.77644092297735101</v>
      </c>
      <c r="P17" s="18">
        <v>0.68458074432731575</v>
      </c>
      <c r="R17" s="16">
        <f t="shared" si="0"/>
        <v>0.32324587970000551</v>
      </c>
      <c r="S17" s="16">
        <f t="shared" si="1"/>
        <v>0.28864304862382351</v>
      </c>
      <c r="T17" s="16">
        <f t="shared" si="2"/>
        <v>0.43899211502655033</v>
      </c>
      <c r="U17" s="16">
        <f t="shared" si="3"/>
        <v>-3.4602831076182006E-2</v>
      </c>
      <c r="V17" s="16">
        <f t="shared" si="4"/>
        <v>0.11574623532654482</v>
      </c>
      <c r="W17" s="16">
        <f t="shared" si="5"/>
        <v>0.15034906640272683</v>
      </c>
      <c r="X17" s="16"/>
      <c r="Y17" s="16">
        <f t="shared" si="6"/>
        <v>0.35030408530610391</v>
      </c>
      <c r="Z17" s="16">
        <f t="shared" si="7"/>
        <v>0.26345115830409693</v>
      </c>
      <c r="AA17" s="16">
        <f t="shared" si="8"/>
        <v>0.47963471959728254</v>
      </c>
      <c r="AB17" s="16">
        <f t="shared" si="9"/>
        <v>-8.6852927002006974E-2</v>
      </c>
      <c r="AC17" s="16">
        <f t="shared" si="10"/>
        <v>0.12933063429117864</v>
      </c>
      <c r="AD17" s="16">
        <f t="shared" si="11"/>
        <v>0.21618356129318561</v>
      </c>
      <c r="AE17" s="16"/>
      <c r="AF17" s="16">
        <f t="shared" si="12"/>
        <v>0.38033612967663055</v>
      </c>
      <c r="AG17" s="16">
        <f t="shared" si="13"/>
        <v>0.35253738668932777</v>
      </c>
      <c r="AH17" s="16">
        <f t="shared" si="14"/>
        <v>0.44439756533936303</v>
      </c>
      <c r="AI17" s="16">
        <f t="shared" si="15"/>
        <v>-2.7798742987302782E-2</v>
      </c>
      <c r="AJ17" s="16">
        <f t="shared" si="16"/>
        <v>6.406143566273248E-2</v>
      </c>
      <c r="AK17" s="16">
        <f t="shared" si="17"/>
        <v>9.1860178650035262E-2</v>
      </c>
    </row>
    <row r="18" spans="2:37" x14ac:dyDescent="0.25">
      <c r="B18" s="1">
        <v>16</v>
      </c>
      <c r="C18" s="1">
        <v>10</v>
      </c>
      <c r="D18" s="1">
        <v>50</v>
      </c>
      <c r="E18" s="18">
        <v>1.0533706208909988</v>
      </c>
      <c r="F18" s="18">
        <v>0.66920170416955971</v>
      </c>
      <c r="G18" s="18">
        <v>0.70031946584746796</v>
      </c>
      <c r="H18" s="18">
        <v>0.61129185369107153</v>
      </c>
      <c r="I18" s="18">
        <v>1.1685206067904981</v>
      </c>
      <c r="J18" s="18">
        <v>0.71794082841687901</v>
      </c>
      <c r="K18" s="18">
        <v>0.81918559487694009</v>
      </c>
      <c r="L18" s="18">
        <v>0.73156628464786666</v>
      </c>
      <c r="M18" s="18">
        <v>1.1407831258982728</v>
      </c>
      <c r="N18" s="18">
        <v>0.78092921126740833</v>
      </c>
      <c r="O18" s="18">
        <v>0.84150076093936299</v>
      </c>
      <c r="P18" s="18">
        <v>0.65946973678790799</v>
      </c>
      <c r="R18" s="16">
        <f t="shared" si="0"/>
        <v>0.38416891672143905</v>
      </c>
      <c r="S18" s="16">
        <f t="shared" si="1"/>
        <v>0.3530511550435308</v>
      </c>
      <c r="T18" s="16">
        <f t="shared" si="2"/>
        <v>0.44207876719992723</v>
      </c>
      <c r="U18" s="16">
        <f t="shared" si="3"/>
        <v>-3.1117761677908251E-2</v>
      </c>
      <c r="V18" s="16">
        <f t="shared" si="4"/>
        <v>5.7909850478488178E-2</v>
      </c>
      <c r="W18" s="16">
        <f t="shared" si="5"/>
        <v>8.902761215639643E-2</v>
      </c>
      <c r="X18" s="16"/>
      <c r="Y18" s="16">
        <f t="shared" si="6"/>
        <v>0.45057977837361907</v>
      </c>
      <c r="Z18" s="16">
        <f t="shared" si="7"/>
        <v>0.34933501191355798</v>
      </c>
      <c r="AA18" s="16">
        <f t="shared" si="8"/>
        <v>0.43695432214263141</v>
      </c>
      <c r="AB18" s="16">
        <f t="shared" si="9"/>
        <v>-0.10124476646006109</v>
      </c>
      <c r="AC18" s="16">
        <f t="shared" si="10"/>
        <v>-1.3625456230987654E-2</v>
      </c>
      <c r="AD18" s="16">
        <f t="shared" si="11"/>
        <v>8.7619310229073433E-2</v>
      </c>
      <c r="AE18" s="16"/>
      <c r="AF18" s="16">
        <f t="shared" si="12"/>
        <v>0.35985391463086447</v>
      </c>
      <c r="AG18" s="16">
        <f t="shared" si="13"/>
        <v>0.29928236495890981</v>
      </c>
      <c r="AH18" s="16">
        <f t="shared" si="14"/>
        <v>0.48131338911036481</v>
      </c>
      <c r="AI18" s="16">
        <f t="shared" si="15"/>
        <v>-6.0571549671954661E-2</v>
      </c>
      <c r="AJ18" s="16">
        <f t="shared" si="16"/>
        <v>0.12145947447950034</v>
      </c>
      <c r="AK18" s="16">
        <f t="shared" si="17"/>
        <v>0.182031024151455</v>
      </c>
    </row>
    <row r="19" spans="2:37" x14ac:dyDescent="0.25">
      <c r="B19" s="1">
        <v>16</v>
      </c>
      <c r="C19" s="1">
        <v>15</v>
      </c>
      <c r="D19" s="1">
        <v>30</v>
      </c>
      <c r="E19" s="18">
        <v>1.1435674225580974</v>
      </c>
      <c r="F19" s="18">
        <v>0.94843418645656885</v>
      </c>
      <c r="G19" s="18">
        <v>0.95088691797168123</v>
      </c>
      <c r="H19" s="18">
        <v>0.67034647865094998</v>
      </c>
      <c r="I19" s="18">
        <v>1.68894397161985</v>
      </c>
      <c r="J19" s="18">
        <v>1.2032719192966472</v>
      </c>
      <c r="K19" s="18">
        <v>1.1518031798010937</v>
      </c>
      <c r="L19" s="18">
        <v>0.69097102224669371</v>
      </c>
      <c r="M19" s="18">
        <v>1.1571648960065326</v>
      </c>
      <c r="N19" s="18">
        <v>0.9466225239914321</v>
      </c>
      <c r="O19" s="18">
        <v>0.84469861245865141</v>
      </c>
      <c r="P19" s="18">
        <v>0.71783190390346097</v>
      </c>
      <c r="R19" s="16">
        <f t="shared" si="0"/>
        <v>0.19513323610152855</v>
      </c>
      <c r="S19" s="16">
        <f t="shared" si="1"/>
        <v>0.19268050458641617</v>
      </c>
      <c r="T19" s="16">
        <f t="shared" si="2"/>
        <v>0.47322094390714742</v>
      </c>
      <c r="U19" s="16">
        <f t="shared" si="3"/>
        <v>-2.452731515112383E-3</v>
      </c>
      <c r="V19" s="16">
        <f t="shared" si="4"/>
        <v>0.27808770780561887</v>
      </c>
      <c r="W19" s="16">
        <f t="shared" si="5"/>
        <v>0.28054043932073125</v>
      </c>
      <c r="X19" s="16"/>
      <c r="Y19" s="16">
        <f t="shared" si="6"/>
        <v>0.48567205232320276</v>
      </c>
      <c r="Z19" s="16">
        <f t="shared" si="7"/>
        <v>0.53714079181875629</v>
      </c>
      <c r="AA19" s="16">
        <f t="shared" si="8"/>
        <v>0.99797294937315628</v>
      </c>
      <c r="AB19" s="16">
        <f t="shared" si="9"/>
        <v>5.1468739495553528E-2</v>
      </c>
      <c r="AC19" s="16">
        <f t="shared" si="10"/>
        <v>0.51230089704995352</v>
      </c>
      <c r="AD19" s="16">
        <f t="shared" si="11"/>
        <v>0.46083215755439999</v>
      </c>
      <c r="AE19" s="16"/>
      <c r="AF19" s="16">
        <f t="shared" si="12"/>
        <v>0.21054237201510051</v>
      </c>
      <c r="AG19" s="16">
        <f t="shared" si="13"/>
        <v>0.3124662835478812</v>
      </c>
      <c r="AH19" s="16">
        <f t="shared" si="14"/>
        <v>0.43933299210307164</v>
      </c>
      <c r="AI19" s="16">
        <f t="shared" si="15"/>
        <v>0.10192391153278069</v>
      </c>
      <c r="AJ19" s="16">
        <f t="shared" si="16"/>
        <v>0.22879062008797113</v>
      </c>
      <c r="AK19" s="16">
        <f t="shared" si="17"/>
        <v>0.12686670855519044</v>
      </c>
    </row>
    <row r="20" spans="2:37" x14ac:dyDescent="0.25">
      <c r="B20" s="1">
        <v>16</v>
      </c>
      <c r="C20" s="1">
        <v>15</v>
      </c>
      <c r="D20" s="1">
        <v>40</v>
      </c>
      <c r="E20" s="18">
        <v>1.0695218616558693</v>
      </c>
      <c r="F20" s="18">
        <v>0.77051468731199313</v>
      </c>
      <c r="G20" s="18">
        <v>0.68508516539067155</v>
      </c>
      <c r="H20" s="18">
        <v>0.59266102193120074</v>
      </c>
      <c r="I20" s="18">
        <v>1.164841660536529</v>
      </c>
      <c r="J20" s="18">
        <v>0.83020537891288126</v>
      </c>
      <c r="K20" s="18">
        <v>0.87360089280428144</v>
      </c>
      <c r="L20" s="18">
        <v>0.70176195928474361</v>
      </c>
      <c r="M20" s="18">
        <v>1.198593761238073</v>
      </c>
      <c r="N20" s="18">
        <v>0.79022612794657232</v>
      </c>
      <c r="O20" s="18">
        <v>0.91605337212095306</v>
      </c>
      <c r="P20" s="18">
        <v>0.71395156222912992</v>
      </c>
      <c r="R20" s="16">
        <f t="shared" si="0"/>
        <v>0.29900717434387614</v>
      </c>
      <c r="S20" s="16">
        <f t="shared" si="1"/>
        <v>0.38443669626519772</v>
      </c>
      <c r="T20" s="16">
        <f t="shared" si="2"/>
        <v>0.47686083972466853</v>
      </c>
      <c r="U20" s="16">
        <f t="shared" si="3"/>
        <v>8.5429521921321583E-2</v>
      </c>
      <c r="V20" s="16">
        <f t="shared" si="4"/>
        <v>0.17785366538079239</v>
      </c>
      <c r="W20" s="16">
        <f t="shared" si="5"/>
        <v>9.2424143459470809E-2</v>
      </c>
      <c r="X20" s="16"/>
      <c r="Y20" s="16">
        <f t="shared" si="6"/>
        <v>0.33463628162364778</v>
      </c>
      <c r="Z20" s="16">
        <f t="shared" si="7"/>
        <v>0.29124076773224761</v>
      </c>
      <c r="AA20" s="16">
        <f t="shared" si="8"/>
        <v>0.46307970125178544</v>
      </c>
      <c r="AB20" s="16">
        <f t="shared" si="9"/>
        <v>-4.3395513891400173E-2</v>
      </c>
      <c r="AC20" s="16">
        <f t="shared" si="10"/>
        <v>0.12844341962813766</v>
      </c>
      <c r="AD20" s="16">
        <f t="shared" si="11"/>
        <v>0.17183893351953783</v>
      </c>
      <c r="AE20" s="16"/>
      <c r="AF20" s="16">
        <f t="shared" si="12"/>
        <v>0.40836763329150072</v>
      </c>
      <c r="AG20" s="16">
        <f t="shared" si="13"/>
        <v>0.28254038911711998</v>
      </c>
      <c r="AH20" s="16">
        <f t="shared" si="14"/>
        <v>0.48464219900894312</v>
      </c>
      <c r="AI20" s="16">
        <f t="shared" si="15"/>
        <v>-0.12582724417438074</v>
      </c>
      <c r="AJ20" s="16">
        <f t="shared" si="16"/>
        <v>7.62745657174424E-2</v>
      </c>
      <c r="AK20" s="16">
        <f t="shared" si="17"/>
        <v>0.20210180989182314</v>
      </c>
    </row>
    <row r="21" spans="2:37" x14ac:dyDescent="0.25">
      <c r="B21" s="1">
        <v>16</v>
      </c>
      <c r="C21" s="1">
        <v>15</v>
      </c>
      <c r="D21" s="1">
        <v>50</v>
      </c>
      <c r="E21" s="18">
        <v>1.0548548281253107</v>
      </c>
      <c r="F21" s="18">
        <v>0.79008846845497693</v>
      </c>
      <c r="G21" s="18">
        <v>0.81006051201957729</v>
      </c>
      <c r="H21" s="18">
        <v>0.71644850642452451</v>
      </c>
      <c r="I21" s="18">
        <v>1.158807379040478</v>
      </c>
      <c r="J21" s="18">
        <v>0.80536351454345778</v>
      </c>
      <c r="K21" s="18">
        <v>0.79380272669895724</v>
      </c>
      <c r="L21" s="18">
        <v>0.79110911432086706</v>
      </c>
      <c r="M21" s="18">
        <v>1.0664061125934765</v>
      </c>
      <c r="N21" s="18">
        <v>0.67503781170106858</v>
      </c>
      <c r="O21" s="18">
        <v>0.74645028289942039</v>
      </c>
      <c r="P21" s="18">
        <v>0.59436291862606738</v>
      </c>
      <c r="R21" s="16">
        <f t="shared" si="0"/>
        <v>0.2647663596703338</v>
      </c>
      <c r="S21" s="16">
        <f t="shared" si="1"/>
        <v>0.24479431610573343</v>
      </c>
      <c r="T21" s="16">
        <f t="shared" si="2"/>
        <v>0.33840632170078622</v>
      </c>
      <c r="U21" s="16">
        <f t="shared" si="3"/>
        <v>-1.9972043564600361E-2</v>
      </c>
      <c r="V21" s="16">
        <f t="shared" si="4"/>
        <v>7.3639962030452422E-2</v>
      </c>
      <c r="W21" s="16">
        <f t="shared" si="5"/>
        <v>9.3612005595052783E-2</v>
      </c>
      <c r="X21" s="16"/>
      <c r="Y21" s="16">
        <f t="shared" si="6"/>
        <v>0.35344386449702025</v>
      </c>
      <c r="Z21" s="16">
        <f t="shared" si="7"/>
        <v>0.3650046523415208</v>
      </c>
      <c r="AA21" s="16">
        <f t="shared" si="8"/>
        <v>0.36769826471961098</v>
      </c>
      <c r="AB21" s="16">
        <f t="shared" si="9"/>
        <v>1.1560787844500542E-2</v>
      </c>
      <c r="AC21" s="16">
        <f t="shared" si="10"/>
        <v>1.4254400222590724E-2</v>
      </c>
      <c r="AD21" s="16">
        <f t="shared" si="11"/>
        <v>2.6936123780901822E-3</v>
      </c>
      <c r="AE21" s="16"/>
      <c r="AF21" s="16">
        <f t="shared" si="12"/>
        <v>0.39136830089240793</v>
      </c>
      <c r="AG21" s="16">
        <f t="shared" si="13"/>
        <v>0.31995582969405612</v>
      </c>
      <c r="AH21" s="16">
        <f t="shared" si="14"/>
        <v>0.47204319396740912</v>
      </c>
      <c r="AI21" s="16">
        <f t="shared" si="15"/>
        <v>-7.1412471198351812E-2</v>
      </c>
      <c r="AJ21" s="16">
        <f t="shared" si="16"/>
        <v>8.0674893075001197E-2</v>
      </c>
      <c r="AK21" s="16">
        <f t="shared" si="17"/>
        <v>0.15208736427335301</v>
      </c>
    </row>
    <row r="22" spans="2:37" x14ac:dyDescent="0.25">
      <c r="B22" s="1">
        <v>20</v>
      </c>
      <c r="C22" s="1">
        <v>5</v>
      </c>
      <c r="D22" s="1">
        <v>30</v>
      </c>
      <c r="E22" s="18">
        <v>1.1220228465261175</v>
      </c>
      <c r="F22" s="18">
        <v>0.66218386436809629</v>
      </c>
      <c r="G22" s="18">
        <v>0.7732073615375904</v>
      </c>
      <c r="H22" s="18">
        <v>0.59808013015873696</v>
      </c>
      <c r="I22" s="18">
        <v>1.1566545466662344</v>
      </c>
      <c r="J22" s="18">
        <v>0.65327281847429819</v>
      </c>
      <c r="K22" s="18">
        <v>0.94109806443243327</v>
      </c>
      <c r="L22" s="18">
        <v>0.65330872266311268</v>
      </c>
      <c r="M22" s="18">
        <v>1.2520853334590305</v>
      </c>
      <c r="N22" s="18">
        <v>0.58595274257212271</v>
      </c>
      <c r="O22" s="18">
        <v>0.90527852776059703</v>
      </c>
      <c r="P22" s="18">
        <v>0.7427142461824624</v>
      </c>
      <c r="R22" s="16">
        <f t="shared" si="0"/>
        <v>0.45983898215802121</v>
      </c>
      <c r="S22" s="16">
        <f t="shared" si="1"/>
        <v>0.3488154849885271</v>
      </c>
      <c r="T22" s="16">
        <f t="shared" si="2"/>
        <v>0.52394271636738055</v>
      </c>
      <c r="U22" s="16">
        <f t="shared" si="3"/>
        <v>-0.11102349716949411</v>
      </c>
      <c r="V22" s="16">
        <f t="shared" si="4"/>
        <v>6.4103734209359331E-2</v>
      </c>
      <c r="W22" s="16">
        <f t="shared" si="5"/>
        <v>0.17512723137885344</v>
      </c>
      <c r="X22" s="16"/>
      <c r="Y22" s="16">
        <f t="shared" si="6"/>
        <v>0.50338172819193616</v>
      </c>
      <c r="Z22" s="16">
        <f t="shared" si="7"/>
        <v>0.21555648223380108</v>
      </c>
      <c r="AA22" s="16">
        <f t="shared" si="8"/>
        <v>0.50334582400312167</v>
      </c>
      <c r="AB22" s="16">
        <f t="shared" si="9"/>
        <v>-0.28782524595813508</v>
      </c>
      <c r="AC22" s="16">
        <f t="shared" si="10"/>
        <v>-3.5904188814495086E-5</v>
      </c>
      <c r="AD22" s="16">
        <f t="shared" si="11"/>
        <v>0.28778934176932058</v>
      </c>
      <c r="AE22" s="16"/>
      <c r="AF22" s="16">
        <f t="shared" si="12"/>
        <v>0.66613259088690779</v>
      </c>
      <c r="AG22" s="16">
        <f t="shared" si="13"/>
        <v>0.34680680569843347</v>
      </c>
      <c r="AH22" s="16">
        <f t="shared" si="14"/>
        <v>0.5093710872765681</v>
      </c>
      <c r="AI22" s="16">
        <f t="shared" si="15"/>
        <v>-0.31932578518847432</v>
      </c>
      <c r="AJ22" s="16">
        <f t="shared" si="16"/>
        <v>-0.15676150361033969</v>
      </c>
      <c r="AK22" s="16">
        <f t="shared" si="17"/>
        <v>0.16256428157813463</v>
      </c>
    </row>
    <row r="23" spans="2:37" x14ac:dyDescent="0.25">
      <c r="B23" s="1">
        <v>20</v>
      </c>
      <c r="C23" s="1">
        <v>5</v>
      </c>
      <c r="D23" s="1">
        <v>40</v>
      </c>
      <c r="E23" s="18">
        <v>1.1144593801849707</v>
      </c>
      <c r="F23" s="18">
        <v>0.73930736623830573</v>
      </c>
      <c r="G23" s="18">
        <v>0.79834222844815006</v>
      </c>
      <c r="H23" s="18">
        <v>0.69023190991209038</v>
      </c>
      <c r="I23" s="18">
        <v>1.0706009717588472</v>
      </c>
      <c r="J23" s="18">
        <v>0.68080017103739288</v>
      </c>
      <c r="K23" s="18">
        <v>0.84086292916099414</v>
      </c>
      <c r="L23" s="18">
        <v>0.65694277809439017</v>
      </c>
      <c r="M23" s="18">
        <v>1.1807219783304539</v>
      </c>
      <c r="N23" s="18">
        <v>0.71367972363687815</v>
      </c>
      <c r="O23" s="18">
        <v>0.87677566410447627</v>
      </c>
      <c r="P23" s="18">
        <v>0.72592769163537074</v>
      </c>
      <c r="R23" s="16">
        <f t="shared" si="0"/>
        <v>0.37515201394666498</v>
      </c>
      <c r="S23" s="16">
        <f t="shared" si="1"/>
        <v>0.31611715173682065</v>
      </c>
      <c r="T23" s="16">
        <f t="shared" si="2"/>
        <v>0.42422747027288032</v>
      </c>
      <c r="U23" s="16">
        <f t="shared" si="3"/>
        <v>-5.903486220984433E-2</v>
      </c>
      <c r="V23" s="16">
        <f t="shared" si="4"/>
        <v>4.907545632621535E-2</v>
      </c>
      <c r="W23" s="16">
        <f t="shared" si="5"/>
        <v>0.10811031853605968</v>
      </c>
      <c r="X23" s="16"/>
      <c r="Y23" s="16">
        <f t="shared" si="6"/>
        <v>0.38980080072145429</v>
      </c>
      <c r="Z23" s="16">
        <f t="shared" si="7"/>
        <v>0.22973804259785302</v>
      </c>
      <c r="AA23" s="16">
        <f t="shared" si="8"/>
        <v>0.413658193664457</v>
      </c>
      <c r="AB23" s="16">
        <f t="shared" si="9"/>
        <v>-0.16006275812360127</v>
      </c>
      <c r="AC23" s="16">
        <f t="shared" si="10"/>
        <v>2.3857392943002709E-2</v>
      </c>
      <c r="AD23" s="16">
        <f t="shared" si="11"/>
        <v>0.18392015106660398</v>
      </c>
      <c r="AE23" s="16"/>
      <c r="AF23" s="16">
        <f t="shared" si="12"/>
        <v>0.46704225469357574</v>
      </c>
      <c r="AG23" s="16">
        <f t="shared" si="13"/>
        <v>0.30394631422597762</v>
      </c>
      <c r="AH23" s="16">
        <f t="shared" si="14"/>
        <v>0.45479428669508315</v>
      </c>
      <c r="AI23" s="16">
        <f t="shared" si="15"/>
        <v>-0.16309594046759812</v>
      </c>
      <c r="AJ23" s="16">
        <f t="shared" si="16"/>
        <v>-1.2247967998492593E-2</v>
      </c>
      <c r="AK23" s="16">
        <f t="shared" si="17"/>
        <v>0.15084797246910553</v>
      </c>
    </row>
    <row r="24" spans="2:37" x14ac:dyDescent="0.25">
      <c r="B24" s="1">
        <v>20</v>
      </c>
      <c r="C24" s="1">
        <v>5</v>
      </c>
      <c r="D24" s="1">
        <v>50</v>
      </c>
      <c r="E24" s="18">
        <v>1.0406924652177152</v>
      </c>
      <c r="F24" s="18">
        <v>0.65228915027891454</v>
      </c>
      <c r="G24" s="18">
        <v>0.78733858134010837</v>
      </c>
      <c r="H24" s="18">
        <v>0.69221672965450576</v>
      </c>
      <c r="I24" s="18">
        <v>1.0491708870237344</v>
      </c>
      <c r="J24" s="18">
        <v>0.76688227446986323</v>
      </c>
      <c r="K24" s="18">
        <v>0.76437363127913849</v>
      </c>
      <c r="L24" s="18">
        <v>0.71519977005385427</v>
      </c>
      <c r="M24" s="18">
        <v>1.1166301124585725</v>
      </c>
      <c r="N24" s="18">
        <v>0.71872937443988627</v>
      </c>
      <c r="O24" s="18">
        <v>0.86190552896162342</v>
      </c>
      <c r="P24" s="18">
        <v>0.66239003037913735</v>
      </c>
      <c r="R24" s="16">
        <f t="shared" si="0"/>
        <v>0.38840331493880065</v>
      </c>
      <c r="S24" s="16">
        <f t="shared" si="1"/>
        <v>0.25335388387760682</v>
      </c>
      <c r="T24" s="16">
        <f t="shared" si="2"/>
        <v>0.34847573556320943</v>
      </c>
      <c r="U24" s="16">
        <f t="shared" si="3"/>
        <v>-0.13504943106119383</v>
      </c>
      <c r="V24" s="16">
        <f t="shared" si="4"/>
        <v>-3.9927579375591216E-2</v>
      </c>
      <c r="W24" s="16">
        <f t="shared" si="5"/>
        <v>9.512185168560261E-2</v>
      </c>
      <c r="X24" s="16"/>
      <c r="Y24" s="16">
        <f t="shared" si="6"/>
        <v>0.28228861255387117</v>
      </c>
      <c r="Z24" s="16">
        <f t="shared" si="7"/>
        <v>0.28479725574459591</v>
      </c>
      <c r="AA24" s="16">
        <f t="shared" si="8"/>
        <v>0.33397111696988013</v>
      </c>
      <c r="AB24" s="16">
        <f t="shared" si="9"/>
        <v>2.5086431907247464E-3</v>
      </c>
      <c r="AC24" s="16">
        <f t="shared" si="10"/>
        <v>5.1682504416008967E-2</v>
      </c>
      <c r="AD24" s="16">
        <f t="shared" si="11"/>
        <v>4.9173861225284221E-2</v>
      </c>
      <c r="AE24" s="16"/>
      <c r="AF24" s="16">
        <f t="shared" si="12"/>
        <v>0.3979007380186862</v>
      </c>
      <c r="AG24" s="16">
        <f t="shared" si="13"/>
        <v>0.25472458349694904</v>
      </c>
      <c r="AH24" s="16">
        <f t="shared" si="14"/>
        <v>0.45424008207943511</v>
      </c>
      <c r="AI24" s="16">
        <f t="shared" si="15"/>
        <v>-0.14317615452173715</v>
      </c>
      <c r="AJ24" s="16">
        <f t="shared" si="16"/>
        <v>5.6339344060748919E-2</v>
      </c>
      <c r="AK24" s="16">
        <f t="shared" si="17"/>
        <v>0.19951549858248607</v>
      </c>
    </row>
    <row r="25" spans="2:37" x14ac:dyDescent="0.25">
      <c r="B25" s="1">
        <v>20</v>
      </c>
      <c r="C25" s="1">
        <v>10</v>
      </c>
      <c r="D25" s="1">
        <v>30</v>
      </c>
      <c r="E25" s="18">
        <v>1.1273426840631273</v>
      </c>
      <c r="F25" s="18">
        <v>0.68644882926829698</v>
      </c>
      <c r="G25" s="18">
        <v>0.87822113969347382</v>
      </c>
      <c r="H25" s="18">
        <v>0.64667500683048418</v>
      </c>
      <c r="I25" s="18">
        <v>1.1499058681550376</v>
      </c>
      <c r="J25" s="18">
        <v>0.63396108953294172</v>
      </c>
      <c r="K25" s="18">
        <v>0.79829931323053593</v>
      </c>
      <c r="L25" s="18">
        <v>0.66628665738316228</v>
      </c>
      <c r="M25" s="18">
        <v>1.1008212684342562</v>
      </c>
      <c r="N25" s="18">
        <v>0.83895504427522116</v>
      </c>
      <c r="O25" s="18">
        <v>0.74358051993453522</v>
      </c>
      <c r="P25" s="18">
        <v>0.6046780653776721</v>
      </c>
      <c r="R25" s="16">
        <f t="shared" si="0"/>
        <v>0.44089385479483034</v>
      </c>
      <c r="S25" s="16">
        <f t="shared" si="1"/>
        <v>0.2491215443696535</v>
      </c>
      <c r="T25" s="16">
        <f t="shared" si="2"/>
        <v>0.48066767723264314</v>
      </c>
      <c r="U25" s="16">
        <f t="shared" si="3"/>
        <v>-0.19177231042517684</v>
      </c>
      <c r="V25" s="16">
        <f t="shared" si="4"/>
        <v>3.97738224378128E-2</v>
      </c>
      <c r="W25" s="16">
        <f t="shared" si="5"/>
        <v>0.23154613286298964</v>
      </c>
      <c r="X25" s="16"/>
      <c r="Y25" s="16">
        <f t="shared" si="6"/>
        <v>0.51594477862209587</v>
      </c>
      <c r="Z25" s="16">
        <f t="shared" si="7"/>
        <v>0.35160655492450166</v>
      </c>
      <c r="AA25" s="16">
        <f t="shared" si="8"/>
        <v>0.48361921077187531</v>
      </c>
      <c r="AB25" s="16">
        <f t="shared" si="9"/>
        <v>-0.16433822369759421</v>
      </c>
      <c r="AC25" s="16">
        <f t="shared" si="10"/>
        <v>-3.232556785022056E-2</v>
      </c>
      <c r="AD25" s="16">
        <f t="shared" si="11"/>
        <v>0.13201265584737365</v>
      </c>
      <c r="AE25" s="16"/>
      <c r="AF25" s="16">
        <f t="shared" si="12"/>
        <v>0.26186622415903504</v>
      </c>
      <c r="AG25" s="16">
        <f t="shared" si="13"/>
        <v>0.35724074849972098</v>
      </c>
      <c r="AH25" s="16">
        <f t="shared" si="14"/>
        <v>0.4961432030565841</v>
      </c>
      <c r="AI25" s="16">
        <f t="shared" si="15"/>
        <v>9.537452434068594E-2</v>
      </c>
      <c r="AJ25" s="16">
        <f t="shared" si="16"/>
        <v>0.23427697889754906</v>
      </c>
      <c r="AK25" s="16">
        <f t="shared" si="17"/>
        <v>0.13890245455686312</v>
      </c>
    </row>
    <row r="26" spans="2:37" x14ac:dyDescent="0.25">
      <c r="B26" s="1">
        <v>20</v>
      </c>
      <c r="C26" s="1">
        <v>10</v>
      </c>
      <c r="D26" s="1">
        <v>40</v>
      </c>
      <c r="E26" s="18">
        <v>1.0595321366595658</v>
      </c>
      <c r="F26" s="18">
        <v>0.72258095290707081</v>
      </c>
      <c r="G26" s="18">
        <v>0.78656800067785548</v>
      </c>
      <c r="H26" s="18">
        <v>0.67870275321464235</v>
      </c>
      <c r="I26" s="18">
        <v>1.1411691635333359</v>
      </c>
      <c r="J26" s="18">
        <v>0.58838515665493263</v>
      </c>
      <c r="K26" s="18">
        <v>0.88471675882399481</v>
      </c>
      <c r="L26" s="18">
        <v>0.65930563419567623</v>
      </c>
      <c r="M26" s="18">
        <v>1.0921714575229686</v>
      </c>
      <c r="N26" s="18">
        <v>0.78736394248658637</v>
      </c>
      <c r="O26" s="18">
        <v>0.74350509345910154</v>
      </c>
      <c r="P26" s="18">
        <v>0.59316420184233309</v>
      </c>
      <c r="R26" s="16">
        <f t="shared" si="0"/>
        <v>0.336951183752495</v>
      </c>
      <c r="S26" s="16">
        <f t="shared" si="1"/>
        <v>0.27296413598171032</v>
      </c>
      <c r="T26" s="16">
        <f t="shared" si="2"/>
        <v>0.38082938344492345</v>
      </c>
      <c r="U26" s="16">
        <f t="shared" si="3"/>
        <v>-6.3987047770784677E-2</v>
      </c>
      <c r="V26" s="16">
        <f t="shared" si="4"/>
        <v>4.3878199692428455E-2</v>
      </c>
      <c r="W26" s="16">
        <f t="shared" si="5"/>
        <v>0.10786524746321313</v>
      </c>
      <c r="X26" s="16"/>
      <c r="Y26" s="16">
        <f t="shared" si="6"/>
        <v>0.55278400687840323</v>
      </c>
      <c r="Z26" s="16">
        <f t="shared" si="7"/>
        <v>0.25645240470934105</v>
      </c>
      <c r="AA26" s="16">
        <f t="shared" si="8"/>
        <v>0.48186352933765964</v>
      </c>
      <c r="AB26" s="16">
        <f t="shared" si="9"/>
        <v>-0.29633160216906218</v>
      </c>
      <c r="AC26" s="16">
        <f t="shared" si="10"/>
        <v>-7.0920477540743598E-2</v>
      </c>
      <c r="AD26" s="16">
        <f t="shared" si="11"/>
        <v>0.22541112462831858</v>
      </c>
      <c r="AE26" s="16"/>
      <c r="AF26" s="16">
        <f t="shared" si="12"/>
        <v>0.30480751503638226</v>
      </c>
      <c r="AG26" s="16">
        <f t="shared" si="13"/>
        <v>0.34866636406386708</v>
      </c>
      <c r="AH26" s="16">
        <f t="shared" si="14"/>
        <v>0.49900725568063553</v>
      </c>
      <c r="AI26" s="16">
        <f t="shared" si="15"/>
        <v>4.3858849027484825E-2</v>
      </c>
      <c r="AJ26" s="16">
        <f t="shared" si="16"/>
        <v>0.19419974064425327</v>
      </c>
      <c r="AK26" s="16">
        <f t="shared" si="17"/>
        <v>0.15034089161676845</v>
      </c>
    </row>
    <row r="27" spans="2:37" x14ac:dyDescent="0.25">
      <c r="B27" s="1">
        <v>20</v>
      </c>
      <c r="C27" s="1">
        <v>10</v>
      </c>
      <c r="D27" s="1">
        <v>50</v>
      </c>
      <c r="E27" s="18">
        <v>1.0704864258005655</v>
      </c>
      <c r="F27" s="18">
        <v>0.68753074157684801</v>
      </c>
      <c r="G27" s="18">
        <v>0.74358899343605689</v>
      </c>
      <c r="H27" s="18">
        <v>0.63184061309045458</v>
      </c>
      <c r="I27" s="18">
        <v>1.1028374074004839</v>
      </c>
      <c r="J27" s="18">
        <v>0.72772997709443732</v>
      </c>
      <c r="K27" s="18">
        <v>0.84492559698182856</v>
      </c>
      <c r="L27" s="18">
        <v>0.67210255756082549</v>
      </c>
      <c r="M27" s="18">
        <v>1.1250341638115784</v>
      </c>
      <c r="N27" s="18">
        <v>0.82889853410802772</v>
      </c>
      <c r="O27" s="18">
        <v>0.92710272098892688</v>
      </c>
      <c r="P27" s="18">
        <v>0.69905666954419543</v>
      </c>
      <c r="R27" s="16">
        <f t="shared" si="0"/>
        <v>0.38295568422371751</v>
      </c>
      <c r="S27" s="16">
        <f t="shared" si="1"/>
        <v>0.32689743236450863</v>
      </c>
      <c r="T27" s="16">
        <f t="shared" si="2"/>
        <v>0.43864581271011094</v>
      </c>
      <c r="U27" s="16">
        <f t="shared" si="3"/>
        <v>-5.6058251859208874E-2</v>
      </c>
      <c r="V27" s="16">
        <f t="shared" si="4"/>
        <v>5.5690128486393431E-2</v>
      </c>
      <c r="W27" s="16">
        <f t="shared" si="5"/>
        <v>0.11174838034560231</v>
      </c>
      <c r="X27" s="16"/>
      <c r="Y27" s="16">
        <f t="shared" si="6"/>
        <v>0.37510743030604654</v>
      </c>
      <c r="Z27" s="16">
        <f t="shared" si="7"/>
        <v>0.2579118104186553</v>
      </c>
      <c r="AA27" s="16">
        <f t="shared" si="8"/>
        <v>0.43073484983965837</v>
      </c>
      <c r="AB27" s="16">
        <f t="shared" si="9"/>
        <v>-0.11719561988739124</v>
      </c>
      <c r="AC27" s="16">
        <f t="shared" si="10"/>
        <v>5.5627419533611833E-2</v>
      </c>
      <c r="AD27" s="16">
        <f t="shared" si="11"/>
        <v>0.17282303942100308</v>
      </c>
      <c r="AE27" s="16"/>
      <c r="AF27" s="16">
        <f t="shared" si="12"/>
        <v>0.29613562970355067</v>
      </c>
      <c r="AG27" s="16">
        <f t="shared" si="13"/>
        <v>0.19793144282265152</v>
      </c>
      <c r="AH27" s="16">
        <f t="shared" si="14"/>
        <v>0.42597749426738296</v>
      </c>
      <c r="AI27" s="16">
        <f t="shared" si="15"/>
        <v>-9.8204186880899158E-2</v>
      </c>
      <c r="AJ27" s="16">
        <f t="shared" si="16"/>
        <v>0.12984186456383229</v>
      </c>
      <c r="AK27" s="16">
        <f t="shared" si="17"/>
        <v>0.22804605144473145</v>
      </c>
    </row>
    <row r="28" spans="2:37" x14ac:dyDescent="0.25">
      <c r="B28" s="1">
        <v>20</v>
      </c>
      <c r="C28" s="1">
        <v>15</v>
      </c>
      <c r="D28" s="1">
        <v>30</v>
      </c>
      <c r="E28" s="18">
        <v>1.434033000060094</v>
      </c>
      <c r="F28" s="18">
        <v>0.97589847590351098</v>
      </c>
      <c r="G28" s="18">
        <v>1.1086938321180912</v>
      </c>
      <c r="H28" s="18">
        <v>0.74264750823565218</v>
      </c>
      <c r="I28" s="18">
        <v>1.1141231144957617</v>
      </c>
      <c r="J28" s="18">
        <v>0.87371040935144184</v>
      </c>
      <c r="K28" s="18">
        <v>0.87615908325992253</v>
      </c>
      <c r="L28" s="18">
        <v>0.70089695218655401</v>
      </c>
      <c r="M28" s="18">
        <v>1.1315319626837006</v>
      </c>
      <c r="N28" s="18">
        <v>0.77551133489054846</v>
      </c>
      <c r="O28" s="18">
        <v>0.75521062115422322</v>
      </c>
      <c r="P28" s="18">
        <v>0.68560798404259427</v>
      </c>
      <c r="R28" s="16">
        <f t="shared" si="0"/>
        <v>0.45813452415658307</v>
      </c>
      <c r="S28" s="16">
        <f t="shared" si="1"/>
        <v>0.32533916794200279</v>
      </c>
      <c r="T28" s="16">
        <f t="shared" si="2"/>
        <v>0.69138549182444187</v>
      </c>
      <c r="U28" s="16">
        <f t="shared" si="3"/>
        <v>-0.13279535621458027</v>
      </c>
      <c r="V28" s="16">
        <f t="shared" si="4"/>
        <v>0.2332509676678588</v>
      </c>
      <c r="W28" s="16">
        <f t="shared" si="5"/>
        <v>0.36604632388243907</v>
      </c>
      <c r="X28" s="16"/>
      <c r="Y28" s="16">
        <f t="shared" si="6"/>
        <v>0.24041270514431989</v>
      </c>
      <c r="Z28" s="16">
        <f t="shared" si="7"/>
        <v>0.2379640312358392</v>
      </c>
      <c r="AA28" s="16">
        <f t="shared" si="8"/>
        <v>0.41322616230920772</v>
      </c>
      <c r="AB28" s="16">
        <f t="shared" si="9"/>
        <v>-2.4486739084806919E-3</v>
      </c>
      <c r="AC28" s="16">
        <f t="shared" si="10"/>
        <v>0.17281345716488783</v>
      </c>
      <c r="AD28" s="16">
        <f t="shared" si="11"/>
        <v>0.17526213107336852</v>
      </c>
      <c r="AE28" s="16"/>
      <c r="AF28" s="16">
        <f t="shared" si="12"/>
        <v>0.35602062779315213</v>
      </c>
      <c r="AG28" s="16">
        <f t="shared" si="13"/>
        <v>0.37632134152947738</v>
      </c>
      <c r="AH28" s="16">
        <f t="shared" si="14"/>
        <v>0.44592397864110633</v>
      </c>
      <c r="AI28" s="16">
        <f t="shared" si="15"/>
        <v>2.0300713736325249E-2</v>
      </c>
      <c r="AJ28" s="16">
        <f t="shared" si="16"/>
        <v>8.99033508479542E-2</v>
      </c>
      <c r="AK28" s="16">
        <f t="shared" si="17"/>
        <v>6.9602637111628951E-2</v>
      </c>
    </row>
    <row r="29" spans="2:37" x14ac:dyDescent="0.25">
      <c r="B29" s="1">
        <v>20</v>
      </c>
      <c r="C29" s="1">
        <v>15</v>
      </c>
      <c r="D29" s="1">
        <v>40</v>
      </c>
      <c r="E29" s="18">
        <v>1.1093605292064495</v>
      </c>
      <c r="F29" s="18">
        <v>0.87210716976928793</v>
      </c>
      <c r="G29" s="18">
        <v>0.96627439966648798</v>
      </c>
      <c r="H29" s="18">
        <v>0.6915101084531754</v>
      </c>
      <c r="I29" s="18">
        <v>1.0554572399498434</v>
      </c>
      <c r="J29" s="18">
        <v>0.72793330122270683</v>
      </c>
      <c r="K29" s="18">
        <v>0.74661509627851264</v>
      </c>
      <c r="L29" s="18">
        <v>0.58943423323236133</v>
      </c>
      <c r="M29" s="18">
        <v>1.0670660739049498</v>
      </c>
      <c r="N29" s="18">
        <v>0.7848775175286441</v>
      </c>
      <c r="O29" s="18">
        <v>0.68184208117399414</v>
      </c>
      <c r="P29" s="18">
        <v>0.68436761133460033</v>
      </c>
      <c r="R29" s="16">
        <f t="shared" si="0"/>
        <v>0.23725335943716153</v>
      </c>
      <c r="S29" s="16">
        <f t="shared" si="1"/>
        <v>0.14308612953996147</v>
      </c>
      <c r="T29" s="16">
        <f t="shared" si="2"/>
        <v>0.41785042075327405</v>
      </c>
      <c r="U29" s="16">
        <f t="shared" si="3"/>
        <v>-9.4167229897200055E-2</v>
      </c>
      <c r="V29" s="16">
        <f t="shared" si="4"/>
        <v>0.18059706131611253</v>
      </c>
      <c r="W29" s="16">
        <f t="shared" si="5"/>
        <v>0.27476429121331258</v>
      </c>
      <c r="X29" s="16"/>
      <c r="Y29" s="16">
        <f t="shared" si="6"/>
        <v>0.32752393872713659</v>
      </c>
      <c r="Z29" s="16">
        <f t="shared" si="7"/>
        <v>0.30884214367133078</v>
      </c>
      <c r="AA29" s="16">
        <f t="shared" si="8"/>
        <v>0.46602300671748209</v>
      </c>
      <c r="AB29" s="16">
        <f t="shared" si="9"/>
        <v>-1.8681795055805805E-2</v>
      </c>
      <c r="AC29" s="16">
        <f t="shared" si="10"/>
        <v>0.1384990679903455</v>
      </c>
      <c r="AD29" s="16">
        <f t="shared" si="11"/>
        <v>0.15718086304615131</v>
      </c>
      <c r="AE29" s="16"/>
      <c r="AF29" s="16">
        <f t="shared" si="12"/>
        <v>0.28218855637630569</v>
      </c>
      <c r="AG29" s="16">
        <f t="shared" si="13"/>
        <v>0.38522399273095564</v>
      </c>
      <c r="AH29" s="16">
        <f t="shared" si="14"/>
        <v>0.38269846257034945</v>
      </c>
      <c r="AI29" s="16">
        <f t="shared" si="15"/>
        <v>0.10303543635464996</v>
      </c>
      <c r="AJ29" s="16">
        <f t="shared" si="16"/>
        <v>0.10050990619404376</v>
      </c>
      <c r="AK29" s="16">
        <f t="shared" si="17"/>
        <v>-2.5255301606061931E-3</v>
      </c>
    </row>
    <row r="30" spans="2:37" x14ac:dyDescent="0.25">
      <c r="B30" s="1">
        <v>20</v>
      </c>
      <c r="C30" s="1">
        <v>15</v>
      </c>
      <c r="D30" s="1">
        <v>50</v>
      </c>
      <c r="E30" s="18">
        <v>1.1483097383383902</v>
      </c>
      <c r="F30" s="18">
        <v>0.79982958156987105</v>
      </c>
      <c r="G30" s="18">
        <v>0.91536755542848292</v>
      </c>
      <c r="H30" s="18">
        <v>0.68370873611532867</v>
      </c>
      <c r="I30" s="18">
        <v>1.0653476240905637</v>
      </c>
      <c r="J30" s="18">
        <v>0.63401189999757113</v>
      </c>
      <c r="K30" s="18">
        <v>0.81589168263919343</v>
      </c>
      <c r="L30" s="18">
        <v>0.64662191896854393</v>
      </c>
      <c r="M30" s="18">
        <v>1.1130608255991867</v>
      </c>
      <c r="N30" s="18">
        <v>0.80956710077830896</v>
      </c>
      <c r="O30" s="18">
        <v>0.80032645337073627</v>
      </c>
      <c r="P30" s="18">
        <v>0.70672882053803932</v>
      </c>
      <c r="R30" s="16">
        <f t="shared" si="0"/>
        <v>0.34848015676851918</v>
      </c>
      <c r="S30" s="16">
        <f t="shared" si="1"/>
        <v>0.23294218290990731</v>
      </c>
      <c r="T30" s="16">
        <f t="shared" si="2"/>
        <v>0.46460100222306155</v>
      </c>
      <c r="U30" s="16">
        <f t="shared" si="3"/>
        <v>-0.11553797385861186</v>
      </c>
      <c r="V30" s="16">
        <f t="shared" si="4"/>
        <v>0.11612084545454238</v>
      </c>
      <c r="W30" s="16">
        <f t="shared" si="5"/>
        <v>0.23165881931315424</v>
      </c>
      <c r="X30" s="16"/>
      <c r="Y30" s="16">
        <f t="shared" si="6"/>
        <v>0.43133572409299259</v>
      </c>
      <c r="Z30" s="16">
        <f t="shared" si="7"/>
        <v>0.24945594145137029</v>
      </c>
      <c r="AA30" s="16">
        <f t="shared" si="8"/>
        <v>0.41872570512201979</v>
      </c>
      <c r="AB30" s="16">
        <f t="shared" si="9"/>
        <v>-0.1818797826416223</v>
      </c>
      <c r="AC30" s="16">
        <f t="shared" si="10"/>
        <v>-1.2610018970972803E-2</v>
      </c>
      <c r="AD30" s="16">
        <f t="shared" si="11"/>
        <v>0.1692697636706495</v>
      </c>
      <c r="AE30" s="16"/>
      <c r="AF30" s="16">
        <f t="shared" si="12"/>
        <v>0.30349372482087777</v>
      </c>
      <c r="AG30" s="16">
        <f t="shared" si="13"/>
        <v>0.31273437222845046</v>
      </c>
      <c r="AH30" s="16">
        <f t="shared" si="14"/>
        <v>0.40633200506114742</v>
      </c>
      <c r="AI30" s="16">
        <f t="shared" si="15"/>
        <v>9.2406474075726885E-3</v>
      </c>
      <c r="AJ30" s="16">
        <f t="shared" si="16"/>
        <v>0.10283828024026964</v>
      </c>
      <c r="AK30" s="16">
        <f t="shared" si="17"/>
        <v>9.3597632832696953E-2</v>
      </c>
    </row>
    <row r="31" spans="2:37" x14ac:dyDescent="0.25">
      <c r="B31" s="28" t="s">
        <v>27</v>
      </c>
      <c r="C31" s="28"/>
      <c r="D31" s="28"/>
      <c r="E31" s="17">
        <f>AVERAGE(E4:E30)</f>
        <v>1.0999789140704697</v>
      </c>
      <c r="F31" s="17">
        <f t="shared" ref="F31:P31" si="18">AVERAGE(F4:F30)</f>
        <v>0.74927899164809331</v>
      </c>
      <c r="G31" s="17">
        <f t="shared" si="18"/>
        <v>0.81725353763064434</v>
      </c>
      <c r="H31" s="17">
        <f t="shared" si="18"/>
        <v>0.68134896593198202</v>
      </c>
      <c r="I31" s="17">
        <f t="shared" si="18"/>
        <v>1.1564126552323533</v>
      </c>
      <c r="J31" s="17">
        <f t="shared" si="18"/>
        <v>0.75616307836951391</v>
      </c>
      <c r="K31" s="17">
        <f t="shared" si="18"/>
        <v>0.86347488823464702</v>
      </c>
      <c r="L31" s="17">
        <f t="shared" si="18"/>
        <v>0.69062882362228961</v>
      </c>
      <c r="M31" s="17">
        <f t="shared" si="18"/>
        <v>1.164093596519655</v>
      </c>
      <c r="N31" s="17">
        <f t="shared" si="18"/>
        <v>0.7750333492747864</v>
      </c>
      <c r="O31" s="17">
        <f t="shared" si="18"/>
        <v>0.84885326801275507</v>
      </c>
      <c r="P31" s="17">
        <f t="shared" si="18"/>
        <v>0.67994769053007742</v>
      </c>
    </row>
    <row r="33" spans="18:23" x14ac:dyDescent="0.25">
      <c r="R33" s="16"/>
      <c r="S33" s="16"/>
      <c r="T33" s="16"/>
      <c r="U33" s="16"/>
      <c r="V33" s="16"/>
      <c r="W33" s="16"/>
    </row>
  </sheetData>
  <mergeCells count="7">
    <mergeCell ref="Y2:AD2"/>
    <mergeCell ref="AF2:AK2"/>
    <mergeCell ref="B31:D31"/>
    <mergeCell ref="E2:H2"/>
    <mergeCell ref="I2:L2"/>
    <mergeCell ref="M2:P2"/>
    <mergeCell ref="R2:W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39C25-7E8B-4956-A7CD-772DB666DCA8}">
  <dimension ref="B2:AK33"/>
  <sheetViews>
    <sheetView topLeftCell="J13" workbookViewId="0">
      <selection activeCell="I11" sqref="I11"/>
    </sheetView>
  </sheetViews>
  <sheetFormatPr defaultRowHeight="15.75" x14ac:dyDescent="0.25"/>
  <cols>
    <col min="1" max="1" width="8.85546875" style="6" customWidth="1"/>
    <col min="2" max="4" width="3.7109375" style="6" customWidth="1"/>
    <col min="5" max="5" width="6.42578125" style="6" customWidth="1"/>
    <col min="6" max="16" width="9.5703125" style="6" customWidth="1"/>
    <col min="17" max="16384" width="9.140625" style="6"/>
  </cols>
  <sheetData>
    <row r="2" spans="2:37" x14ac:dyDescent="0.25">
      <c r="B2" s="5"/>
      <c r="C2" s="5"/>
      <c r="D2" s="5"/>
      <c r="E2" s="31" t="s">
        <v>17</v>
      </c>
      <c r="F2" s="31"/>
      <c r="G2" s="31"/>
      <c r="H2" s="31"/>
      <c r="I2" s="31" t="s">
        <v>18</v>
      </c>
      <c r="J2" s="31"/>
      <c r="K2" s="31"/>
      <c r="L2" s="31"/>
      <c r="M2" s="31" t="s">
        <v>19</v>
      </c>
      <c r="N2" s="31"/>
      <c r="O2" s="31"/>
      <c r="P2" s="31"/>
      <c r="R2" s="30" t="s">
        <v>17</v>
      </c>
      <c r="S2" s="30"/>
      <c r="T2" s="30"/>
      <c r="U2" s="30"/>
      <c r="V2" s="30"/>
      <c r="W2" s="30"/>
      <c r="X2" s="7"/>
      <c r="Y2" s="30" t="s">
        <v>18</v>
      </c>
      <c r="Z2" s="30"/>
      <c r="AA2" s="30"/>
      <c r="AB2" s="30"/>
      <c r="AC2" s="30"/>
      <c r="AD2" s="30"/>
      <c r="AE2" s="7"/>
      <c r="AF2" s="30" t="s">
        <v>18</v>
      </c>
      <c r="AG2" s="30"/>
      <c r="AH2" s="30"/>
      <c r="AI2" s="30"/>
      <c r="AJ2" s="30"/>
      <c r="AK2" s="30"/>
    </row>
    <row r="3" spans="2:37" x14ac:dyDescent="0.25"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25</v>
      </c>
      <c r="H3" s="8" t="s">
        <v>26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23</v>
      </c>
      <c r="N3" s="8" t="s">
        <v>24</v>
      </c>
      <c r="O3" s="8" t="s">
        <v>25</v>
      </c>
      <c r="P3" s="8" t="s">
        <v>26</v>
      </c>
      <c r="R3" s="9" t="s">
        <v>5</v>
      </c>
      <c r="S3" s="9" t="s">
        <v>6</v>
      </c>
      <c r="T3" s="9" t="s">
        <v>7</v>
      </c>
      <c r="U3" s="9" t="s">
        <v>8</v>
      </c>
      <c r="V3" s="9" t="s">
        <v>9</v>
      </c>
      <c r="W3" s="9" t="s">
        <v>10</v>
      </c>
      <c r="X3" s="9"/>
      <c r="Y3" s="9" t="s">
        <v>5</v>
      </c>
      <c r="Z3" s="9" t="s">
        <v>6</v>
      </c>
      <c r="AA3" s="9" t="s">
        <v>7</v>
      </c>
      <c r="AB3" s="9" t="s">
        <v>8</v>
      </c>
      <c r="AC3" s="9" t="s">
        <v>9</v>
      </c>
      <c r="AD3" s="9" t="s">
        <v>10</v>
      </c>
      <c r="AE3" s="9"/>
      <c r="AF3" s="9" t="s">
        <v>5</v>
      </c>
      <c r="AG3" s="9" t="s">
        <v>6</v>
      </c>
      <c r="AH3" s="9" t="s">
        <v>7</v>
      </c>
      <c r="AI3" s="9" t="s">
        <v>8</v>
      </c>
      <c r="AJ3" s="9" t="s">
        <v>9</v>
      </c>
      <c r="AK3" s="9" t="s">
        <v>10</v>
      </c>
    </row>
    <row r="4" spans="2:37" x14ac:dyDescent="0.25">
      <c r="B4" s="6">
        <v>12</v>
      </c>
      <c r="C4" s="6">
        <v>5</v>
      </c>
      <c r="D4" s="6">
        <v>30</v>
      </c>
      <c r="E4" s="16">
        <v>0</v>
      </c>
      <c r="F4" s="18">
        <v>0.13438647815509885</v>
      </c>
      <c r="G4" s="18">
        <v>4.7849516070878666E-2</v>
      </c>
      <c r="H4" s="18">
        <v>0.11987989144730873</v>
      </c>
      <c r="I4" s="18">
        <v>0</v>
      </c>
      <c r="J4" s="18">
        <v>0.10719273012939309</v>
      </c>
      <c r="K4" s="18">
        <v>8.1325279134769529E-2</v>
      </c>
      <c r="L4" s="18">
        <v>0.11408243000240603</v>
      </c>
      <c r="M4" s="18">
        <v>0</v>
      </c>
      <c r="N4" s="18">
        <v>0.13280152026238881</v>
      </c>
      <c r="O4" s="18">
        <v>7.06152717668624E-2</v>
      </c>
      <c r="P4" s="18">
        <v>9.2238425250878817E-2</v>
      </c>
      <c r="R4" s="10">
        <f>E4-F4</f>
        <v>-0.13438647815509885</v>
      </c>
      <c r="S4" s="10">
        <f>E4-G4</f>
        <v>-4.7849516070878666E-2</v>
      </c>
      <c r="T4" s="10">
        <f>E4-H4</f>
        <v>-0.11987989144730873</v>
      </c>
      <c r="U4" s="10">
        <f>F4-G4</f>
        <v>8.6536962084220181E-2</v>
      </c>
      <c r="V4" s="10">
        <f>F4-H4</f>
        <v>1.450658670779012E-2</v>
      </c>
      <c r="W4" s="10">
        <f>G4-H4</f>
        <v>-7.2030375376430061E-2</v>
      </c>
      <c r="X4" s="10"/>
      <c r="Y4" s="10">
        <f>I4-J4</f>
        <v>-0.10719273012939309</v>
      </c>
      <c r="Z4" s="10">
        <f>I4-K4</f>
        <v>-8.1325279134769529E-2</v>
      </c>
      <c r="AA4" s="10">
        <f>I4-L4</f>
        <v>-0.11408243000240603</v>
      </c>
      <c r="AB4" s="10">
        <f>J4-K4</f>
        <v>2.5867450994623564E-2</v>
      </c>
      <c r="AC4" s="10">
        <f>J4-L4</f>
        <v>-6.8896998730129388E-3</v>
      </c>
      <c r="AD4" s="10">
        <f>K4-L4</f>
        <v>-3.2757150867636503E-2</v>
      </c>
      <c r="AE4" s="10"/>
      <c r="AF4" s="10">
        <f>M4-N4</f>
        <v>-0.13280152026238881</v>
      </c>
      <c r="AG4" s="10">
        <f>M4-O4</f>
        <v>-7.06152717668624E-2</v>
      </c>
      <c r="AH4" s="10">
        <f>M4-P4</f>
        <v>-9.2238425250878817E-2</v>
      </c>
      <c r="AI4" s="10">
        <f>N4-O4</f>
        <v>6.2186248495526411E-2</v>
      </c>
      <c r="AJ4" s="10">
        <f>N4-P4</f>
        <v>4.0563095011509995E-2</v>
      </c>
      <c r="AK4" s="10">
        <f>O4-P4</f>
        <v>-2.1623153484016416E-2</v>
      </c>
    </row>
    <row r="5" spans="2:37" x14ac:dyDescent="0.25">
      <c r="B5" s="6">
        <v>12</v>
      </c>
      <c r="C5" s="6">
        <v>5</v>
      </c>
      <c r="D5" s="6">
        <v>40</v>
      </c>
      <c r="E5" s="16">
        <v>7.1247980485501256E-3</v>
      </c>
      <c r="F5" s="18">
        <v>0.13827199024291276</v>
      </c>
      <c r="G5" s="18">
        <v>4.4843273657774546E-2</v>
      </c>
      <c r="H5" s="18">
        <v>8.432294842337984E-2</v>
      </c>
      <c r="I5" s="18">
        <v>0</v>
      </c>
      <c r="J5" s="18">
        <v>0.12234542841520472</v>
      </c>
      <c r="K5" s="18">
        <v>5.5828512510122774E-2</v>
      </c>
      <c r="L5" s="18">
        <v>0.11343666852763043</v>
      </c>
      <c r="M5" s="18">
        <v>0</v>
      </c>
      <c r="N5" s="18">
        <v>0.12630015788265306</v>
      </c>
      <c r="O5" s="18">
        <v>3.8642795492576335E-2</v>
      </c>
      <c r="P5" s="18">
        <v>9.5927528782068366E-2</v>
      </c>
      <c r="R5" s="10">
        <f t="shared" ref="R5:R30" si="0">E5-F5</f>
        <v>-0.13114719219436263</v>
      </c>
      <c r="S5" s="10">
        <f t="shared" ref="S5:S30" si="1">E5-G5</f>
        <v>-3.7718475609224422E-2</v>
      </c>
      <c r="T5" s="10">
        <f t="shared" ref="T5:T30" si="2">E5-H5</f>
        <v>-7.7198150374829716E-2</v>
      </c>
      <c r="U5" s="10">
        <f t="shared" ref="U5:U30" si="3">F5-G5</f>
        <v>9.3428716585138211E-2</v>
      </c>
      <c r="V5" s="10">
        <f t="shared" ref="V5:V30" si="4">F5-H5</f>
        <v>5.3949041819532917E-2</v>
      </c>
      <c r="W5" s="10">
        <f t="shared" ref="W5:W30" si="5">G5-H5</f>
        <v>-3.9479674765605294E-2</v>
      </c>
      <c r="X5" s="10"/>
      <c r="Y5" s="10">
        <f t="shared" ref="Y5:Y30" si="6">I5-J5</f>
        <v>-0.12234542841520472</v>
      </c>
      <c r="Z5" s="10">
        <f t="shared" ref="Z5:Z30" si="7">I5-K5</f>
        <v>-5.5828512510122774E-2</v>
      </c>
      <c r="AA5" s="10">
        <f t="shared" ref="AA5:AA30" si="8">I5-L5</f>
        <v>-0.11343666852763043</v>
      </c>
      <c r="AB5" s="10">
        <f t="shared" ref="AB5:AB30" si="9">J5-K5</f>
        <v>6.651691590508195E-2</v>
      </c>
      <c r="AC5" s="10">
        <f t="shared" ref="AC5:AC30" si="10">J5-L5</f>
        <v>8.908759887574294E-3</v>
      </c>
      <c r="AD5" s="10">
        <f t="shared" ref="AD5:AD30" si="11">K5-L5</f>
        <v>-5.7608156017507656E-2</v>
      </c>
      <c r="AE5" s="10"/>
      <c r="AF5" s="10">
        <f t="shared" ref="AF5:AF30" si="12">M5-N5</f>
        <v>-0.12630015788265306</v>
      </c>
      <c r="AG5" s="10">
        <f t="shared" ref="AG5:AG30" si="13">M5-O5</f>
        <v>-3.8642795492576335E-2</v>
      </c>
      <c r="AH5" s="10">
        <f t="shared" ref="AH5:AH30" si="14">M5-P5</f>
        <v>-9.5927528782068366E-2</v>
      </c>
      <c r="AI5" s="10">
        <f t="shared" ref="AI5:AI30" si="15">N5-O5</f>
        <v>8.7657362390076723E-2</v>
      </c>
      <c r="AJ5" s="10">
        <f t="shared" ref="AJ5:AJ30" si="16">N5-P5</f>
        <v>3.0372629100584692E-2</v>
      </c>
      <c r="AK5" s="10">
        <f t="shared" ref="AK5:AK30" si="17">O5-P5</f>
        <v>-5.7284733289492032E-2</v>
      </c>
    </row>
    <row r="6" spans="2:37" x14ac:dyDescent="0.25">
      <c r="B6" s="6">
        <v>12</v>
      </c>
      <c r="C6" s="6">
        <v>5</v>
      </c>
      <c r="D6" s="6">
        <v>50</v>
      </c>
      <c r="E6" s="16">
        <v>0</v>
      </c>
      <c r="F6" s="18">
        <v>0.11815811510025423</v>
      </c>
      <c r="G6" s="18">
        <v>4.4624225925109007E-2</v>
      </c>
      <c r="H6" s="18">
        <v>0.11241062670619988</v>
      </c>
      <c r="I6" s="18">
        <v>1.0777611557906231E-2</v>
      </c>
      <c r="J6" s="18">
        <v>9.4832730504166046E-2</v>
      </c>
      <c r="K6" s="18">
        <v>3.9155146511456726E-2</v>
      </c>
      <c r="L6" s="18">
        <v>0.17042675847551286</v>
      </c>
      <c r="M6" s="18">
        <v>4.7724224248766808E-3</v>
      </c>
      <c r="N6" s="18">
        <v>0.10054919184747135</v>
      </c>
      <c r="O6" s="18">
        <v>4.5857671937766069E-2</v>
      </c>
      <c r="P6" s="18">
        <v>7.6602567750808384E-2</v>
      </c>
      <c r="R6" s="10">
        <f t="shared" si="0"/>
        <v>-0.11815811510025423</v>
      </c>
      <c r="S6" s="10">
        <f t="shared" si="1"/>
        <v>-4.4624225925109007E-2</v>
      </c>
      <c r="T6" s="10">
        <f t="shared" si="2"/>
        <v>-0.11241062670619988</v>
      </c>
      <c r="U6" s="10">
        <f t="shared" si="3"/>
        <v>7.3533889175145223E-2</v>
      </c>
      <c r="V6" s="10">
        <f t="shared" si="4"/>
        <v>5.7474883940543536E-3</v>
      </c>
      <c r="W6" s="10">
        <f t="shared" si="5"/>
        <v>-6.7786400781090869E-2</v>
      </c>
      <c r="X6" s="10"/>
      <c r="Y6" s="10">
        <f t="shared" si="6"/>
        <v>-8.4055118946259819E-2</v>
      </c>
      <c r="Z6" s="10">
        <f t="shared" si="7"/>
        <v>-2.8377534953550495E-2</v>
      </c>
      <c r="AA6" s="10">
        <f t="shared" si="8"/>
        <v>-0.15964914691760662</v>
      </c>
      <c r="AB6" s="10">
        <f t="shared" si="9"/>
        <v>5.567758399270932E-2</v>
      </c>
      <c r="AC6" s="10">
        <f t="shared" si="10"/>
        <v>-7.5594027971346817E-2</v>
      </c>
      <c r="AD6" s="10">
        <f t="shared" si="11"/>
        <v>-0.13127161196405612</v>
      </c>
      <c r="AE6" s="10"/>
      <c r="AF6" s="10">
        <f t="shared" si="12"/>
        <v>-9.5776769422594665E-2</v>
      </c>
      <c r="AG6" s="10">
        <f t="shared" si="13"/>
        <v>-4.1085249512889388E-2</v>
      </c>
      <c r="AH6" s="10">
        <f t="shared" si="14"/>
        <v>-7.183014532593171E-2</v>
      </c>
      <c r="AI6" s="10">
        <f t="shared" si="15"/>
        <v>5.4691519909705284E-2</v>
      </c>
      <c r="AJ6" s="10">
        <f t="shared" si="16"/>
        <v>2.3946624096662969E-2</v>
      </c>
      <c r="AK6" s="10">
        <f t="shared" si="17"/>
        <v>-3.0744895813042315E-2</v>
      </c>
    </row>
    <row r="7" spans="2:37" x14ac:dyDescent="0.25">
      <c r="B7" s="6">
        <v>12</v>
      </c>
      <c r="C7" s="6">
        <v>10</v>
      </c>
      <c r="D7" s="6">
        <v>30</v>
      </c>
      <c r="E7" s="16">
        <v>0</v>
      </c>
      <c r="F7" s="18">
        <v>0.14362030241148901</v>
      </c>
      <c r="G7" s="18">
        <v>5.696444574301418E-2</v>
      </c>
      <c r="H7" s="18">
        <v>0.10841688645030989</v>
      </c>
      <c r="I7" s="18">
        <v>0</v>
      </c>
      <c r="J7" s="18">
        <v>0.13330765524651059</v>
      </c>
      <c r="K7" s="18">
        <v>9.3913468090120272E-2</v>
      </c>
      <c r="L7" s="18">
        <v>0.10840208387063206</v>
      </c>
      <c r="M7" s="18">
        <v>0</v>
      </c>
      <c r="N7" s="18">
        <v>9.1475651557088269E-2</v>
      </c>
      <c r="O7" s="18">
        <v>4.7964700504556791E-2</v>
      </c>
      <c r="P7" s="18">
        <v>0.12849235424581623</v>
      </c>
      <c r="R7" s="10">
        <f t="shared" si="0"/>
        <v>-0.14362030241148901</v>
      </c>
      <c r="S7" s="10">
        <f t="shared" si="1"/>
        <v>-5.696444574301418E-2</v>
      </c>
      <c r="T7" s="10">
        <f t="shared" si="2"/>
        <v>-0.10841688645030989</v>
      </c>
      <c r="U7" s="10">
        <f t="shared" si="3"/>
        <v>8.6655856668474834E-2</v>
      </c>
      <c r="V7" s="10">
        <f t="shared" si="4"/>
        <v>3.5203415961179124E-2</v>
      </c>
      <c r="W7" s="10">
        <f t="shared" si="5"/>
        <v>-5.145244070729571E-2</v>
      </c>
      <c r="X7" s="10"/>
      <c r="Y7" s="10">
        <f t="shared" si="6"/>
        <v>-0.13330765524651059</v>
      </c>
      <c r="Z7" s="10">
        <f t="shared" si="7"/>
        <v>-9.3913468090120272E-2</v>
      </c>
      <c r="AA7" s="10">
        <f t="shared" si="8"/>
        <v>-0.10840208387063206</v>
      </c>
      <c r="AB7" s="10">
        <f t="shared" si="9"/>
        <v>3.9394187156390315E-2</v>
      </c>
      <c r="AC7" s="10">
        <f t="shared" si="10"/>
        <v>2.4905571375878524E-2</v>
      </c>
      <c r="AD7" s="10">
        <f t="shared" si="11"/>
        <v>-1.448861578051179E-2</v>
      </c>
      <c r="AE7" s="10"/>
      <c r="AF7" s="10">
        <f t="shared" si="12"/>
        <v>-9.1475651557088269E-2</v>
      </c>
      <c r="AG7" s="10">
        <f t="shared" si="13"/>
        <v>-4.7964700504556791E-2</v>
      </c>
      <c r="AH7" s="10">
        <f t="shared" si="14"/>
        <v>-0.12849235424581623</v>
      </c>
      <c r="AI7" s="10">
        <f t="shared" si="15"/>
        <v>4.3510951052531478E-2</v>
      </c>
      <c r="AJ7" s="10">
        <f t="shared" si="16"/>
        <v>-3.7016702688727962E-2</v>
      </c>
      <c r="AK7" s="10">
        <f t="shared" si="17"/>
        <v>-8.0527653741259447E-2</v>
      </c>
    </row>
    <row r="8" spans="2:37" x14ac:dyDescent="0.25">
      <c r="B8" s="6">
        <v>12</v>
      </c>
      <c r="C8" s="6">
        <v>10</v>
      </c>
      <c r="D8" s="6">
        <v>40</v>
      </c>
      <c r="E8" s="16">
        <v>0</v>
      </c>
      <c r="F8" s="18">
        <v>0.11568486376893934</v>
      </c>
      <c r="G8" s="18">
        <v>4.6235813607043749E-2</v>
      </c>
      <c r="H8" s="18">
        <v>0.10086761471038734</v>
      </c>
      <c r="I8" s="18">
        <v>4.2047018152566833E-3</v>
      </c>
      <c r="J8" s="18">
        <v>0.10066968637445081</v>
      </c>
      <c r="K8" s="18">
        <v>5.0280219520346871E-2</v>
      </c>
      <c r="L8" s="18">
        <v>0.13307766727785361</v>
      </c>
      <c r="M8" s="18">
        <v>0</v>
      </c>
      <c r="N8" s="18">
        <v>0.1348596496535838</v>
      </c>
      <c r="O8" s="18">
        <v>7.8703284130391321E-2</v>
      </c>
      <c r="P8" s="18">
        <v>0.13250883394331808</v>
      </c>
      <c r="R8" s="10">
        <f t="shared" si="0"/>
        <v>-0.11568486376893934</v>
      </c>
      <c r="S8" s="10">
        <f t="shared" si="1"/>
        <v>-4.6235813607043749E-2</v>
      </c>
      <c r="T8" s="10">
        <f t="shared" si="2"/>
        <v>-0.10086761471038734</v>
      </c>
      <c r="U8" s="10">
        <f t="shared" si="3"/>
        <v>6.9449050161895592E-2</v>
      </c>
      <c r="V8" s="10">
        <f t="shared" si="4"/>
        <v>1.4817249058552001E-2</v>
      </c>
      <c r="W8" s="10">
        <f t="shared" si="5"/>
        <v>-5.4631801103343591E-2</v>
      </c>
      <c r="X8" s="10"/>
      <c r="Y8" s="10">
        <f t="shared" si="6"/>
        <v>-9.6464984559194125E-2</v>
      </c>
      <c r="Z8" s="10">
        <f t="shared" si="7"/>
        <v>-4.6075517705090191E-2</v>
      </c>
      <c r="AA8" s="10">
        <f t="shared" si="8"/>
        <v>-0.12887296546259694</v>
      </c>
      <c r="AB8" s="10">
        <f t="shared" si="9"/>
        <v>5.0389466854103941E-2</v>
      </c>
      <c r="AC8" s="10">
        <f t="shared" si="10"/>
        <v>-3.24079809034028E-2</v>
      </c>
      <c r="AD8" s="10">
        <f t="shared" si="11"/>
        <v>-8.2797447757506748E-2</v>
      </c>
      <c r="AE8" s="10"/>
      <c r="AF8" s="10">
        <f t="shared" si="12"/>
        <v>-0.1348596496535838</v>
      </c>
      <c r="AG8" s="10">
        <f t="shared" si="13"/>
        <v>-7.8703284130391321E-2</v>
      </c>
      <c r="AH8" s="10">
        <f t="shared" si="14"/>
        <v>-0.13250883394331808</v>
      </c>
      <c r="AI8" s="10">
        <f t="shared" si="15"/>
        <v>5.6156365523192475E-2</v>
      </c>
      <c r="AJ8" s="10">
        <f t="shared" si="16"/>
        <v>2.3508157102657135E-3</v>
      </c>
      <c r="AK8" s="10">
        <f t="shared" si="17"/>
        <v>-5.3805549812926762E-2</v>
      </c>
    </row>
    <row r="9" spans="2:37" x14ac:dyDescent="0.25">
      <c r="B9" s="6">
        <v>12</v>
      </c>
      <c r="C9" s="6">
        <v>10</v>
      </c>
      <c r="D9" s="6">
        <v>50</v>
      </c>
      <c r="E9" s="16">
        <v>6.4662839582118031E-4</v>
      </c>
      <c r="F9" s="18">
        <v>0.1416500570215877</v>
      </c>
      <c r="G9" s="18">
        <v>5.5835354050340825E-2</v>
      </c>
      <c r="H9" s="18">
        <v>0.12060569889844704</v>
      </c>
      <c r="I9" s="18">
        <v>8.8925361903625013E-3</v>
      </c>
      <c r="J9" s="18">
        <v>9.9997620577312998E-2</v>
      </c>
      <c r="K9" s="18">
        <v>4.0807114054751736E-2</v>
      </c>
      <c r="L9" s="18">
        <v>0.1373684391333746</v>
      </c>
      <c r="M9" s="18">
        <v>0</v>
      </c>
      <c r="N9" s="18">
        <v>9.9116840878292714E-2</v>
      </c>
      <c r="O9" s="18">
        <v>4.1330122141239073E-2</v>
      </c>
      <c r="P9" s="18">
        <v>0.10839068940443328</v>
      </c>
      <c r="R9" s="10">
        <f t="shared" si="0"/>
        <v>-0.14100342862576651</v>
      </c>
      <c r="S9" s="10">
        <f t="shared" si="1"/>
        <v>-5.5188725654519648E-2</v>
      </c>
      <c r="T9" s="10">
        <f t="shared" si="2"/>
        <v>-0.11995907050262586</v>
      </c>
      <c r="U9" s="10">
        <f t="shared" si="3"/>
        <v>8.5814702971246881E-2</v>
      </c>
      <c r="V9" s="10">
        <f t="shared" si="4"/>
        <v>2.1044358123140663E-2</v>
      </c>
      <c r="W9" s="10">
        <f t="shared" si="5"/>
        <v>-6.4770344848106204E-2</v>
      </c>
      <c r="X9" s="10"/>
      <c r="Y9" s="10">
        <f t="shared" si="6"/>
        <v>-9.1105084386950502E-2</v>
      </c>
      <c r="Z9" s="10">
        <f t="shared" si="7"/>
        <v>-3.1914577864389233E-2</v>
      </c>
      <c r="AA9" s="10">
        <f t="shared" si="8"/>
        <v>-0.12847590294301209</v>
      </c>
      <c r="AB9" s="10">
        <f t="shared" si="9"/>
        <v>5.9190506522561262E-2</v>
      </c>
      <c r="AC9" s="10">
        <f t="shared" si="10"/>
        <v>-3.73708185560616E-2</v>
      </c>
      <c r="AD9" s="10">
        <f t="shared" si="11"/>
        <v>-9.6561325078622862E-2</v>
      </c>
      <c r="AE9" s="10"/>
      <c r="AF9" s="10">
        <f t="shared" si="12"/>
        <v>-9.9116840878292714E-2</v>
      </c>
      <c r="AG9" s="10">
        <f t="shared" si="13"/>
        <v>-4.1330122141239073E-2</v>
      </c>
      <c r="AH9" s="10">
        <f t="shared" si="14"/>
        <v>-0.10839068940443328</v>
      </c>
      <c r="AI9" s="10">
        <f t="shared" si="15"/>
        <v>5.7786718737053641E-2</v>
      </c>
      <c r="AJ9" s="10">
        <f t="shared" si="16"/>
        <v>-9.2738485261405629E-3</v>
      </c>
      <c r="AK9" s="10">
        <f t="shared" si="17"/>
        <v>-6.7060567263194204E-2</v>
      </c>
    </row>
    <row r="10" spans="2:37" x14ac:dyDescent="0.25">
      <c r="B10" s="6">
        <v>12</v>
      </c>
      <c r="C10" s="6">
        <v>15</v>
      </c>
      <c r="D10" s="6">
        <v>30</v>
      </c>
      <c r="E10" s="16">
        <v>0</v>
      </c>
      <c r="F10" s="18">
        <v>0.11252952664000102</v>
      </c>
      <c r="G10" s="18">
        <v>8.3478355928055387E-2</v>
      </c>
      <c r="H10" s="18">
        <v>0.12069145032414882</v>
      </c>
      <c r="I10" s="18">
        <v>0</v>
      </c>
      <c r="J10" s="18">
        <v>9.0833442867008354E-2</v>
      </c>
      <c r="K10" s="18">
        <v>7.7708896030903835E-2</v>
      </c>
      <c r="L10" s="18">
        <v>0.15223672028580768</v>
      </c>
      <c r="M10" s="18">
        <v>0</v>
      </c>
      <c r="N10" s="18">
        <v>0.10051312157440151</v>
      </c>
      <c r="O10" s="18">
        <v>0.10865034631778955</v>
      </c>
      <c r="P10" s="18">
        <v>0.14978837495519035</v>
      </c>
      <c r="R10" s="10">
        <f t="shared" si="0"/>
        <v>-0.11252952664000102</v>
      </c>
      <c r="S10" s="10">
        <f t="shared" si="1"/>
        <v>-8.3478355928055387E-2</v>
      </c>
      <c r="T10" s="10">
        <f t="shared" si="2"/>
        <v>-0.12069145032414882</v>
      </c>
      <c r="U10" s="10">
        <f t="shared" si="3"/>
        <v>2.9051170711945629E-2</v>
      </c>
      <c r="V10" s="10">
        <f t="shared" si="4"/>
        <v>-8.1619236841478093E-3</v>
      </c>
      <c r="W10" s="10">
        <f t="shared" si="5"/>
        <v>-3.7213094396093438E-2</v>
      </c>
      <c r="X10" s="10"/>
      <c r="Y10" s="10">
        <f t="shared" si="6"/>
        <v>-9.0833442867008354E-2</v>
      </c>
      <c r="Z10" s="10">
        <f t="shared" si="7"/>
        <v>-7.7708896030903835E-2</v>
      </c>
      <c r="AA10" s="10">
        <f t="shared" si="8"/>
        <v>-0.15223672028580768</v>
      </c>
      <c r="AB10" s="10">
        <f t="shared" si="9"/>
        <v>1.312454683610452E-2</v>
      </c>
      <c r="AC10" s="10">
        <f t="shared" si="10"/>
        <v>-6.1403277418799321E-2</v>
      </c>
      <c r="AD10" s="10">
        <f t="shared" si="11"/>
        <v>-7.4527824254903841E-2</v>
      </c>
      <c r="AE10" s="10"/>
      <c r="AF10" s="10">
        <f t="shared" si="12"/>
        <v>-0.10051312157440151</v>
      </c>
      <c r="AG10" s="10">
        <f t="shared" si="13"/>
        <v>-0.10865034631778955</v>
      </c>
      <c r="AH10" s="10">
        <f t="shared" si="14"/>
        <v>-0.14978837495519035</v>
      </c>
      <c r="AI10" s="10">
        <f t="shared" si="15"/>
        <v>-8.137224743388044E-3</v>
      </c>
      <c r="AJ10" s="10">
        <f t="shared" si="16"/>
        <v>-4.9275253380788836E-2</v>
      </c>
      <c r="AK10" s="10">
        <f t="shared" si="17"/>
        <v>-4.1138028637400792E-2</v>
      </c>
    </row>
    <row r="11" spans="2:37" x14ac:dyDescent="0.25">
      <c r="B11" s="6">
        <v>12</v>
      </c>
      <c r="C11" s="6">
        <v>15</v>
      </c>
      <c r="D11" s="6">
        <v>40</v>
      </c>
      <c r="E11" s="16">
        <v>1.8940779804434769E-3</v>
      </c>
      <c r="F11" s="18">
        <v>0.11955295197526464</v>
      </c>
      <c r="G11" s="18">
        <v>7.6603532086710294E-2</v>
      </c>
      <c r="H11" s="18">
        <v>0.11281174624856269</v>
      </c>
      <c r="I11" s="18">
        <v>0</v>
      </c>
      <c r="J11" s="18">
        <v>9.7005647476225199E-2</v>
      </c>
      <c r="K11" s="18">
        <v>7.840165012286951E-2</v>
      </c>
      <c r="L11" s="18">
        <v>0.12432500964760085</v>
      </c>
      <c r="M11" s="18">
        <v>0</v>
      </c>
      <c r="N11" s="18">
        <v>0.11536849722121403</v>
      </c>
      <c r="O11" s="18">
        <v>7.8878515461055218E-2</v>
      </c>
      <c r="P11" s="18">
        <v>0.11790943257858968</v>
      </c>
      <c r="R11" s="10">
        <f t="shared" si="0"/>
        <v>-0.11765887399482117</v>
      </c>
      <c r="S11" s="10">
        <f t="shared" si="1"/>
        <v>-7.4709454106266823E-2</v>
      </c>
      <c r="T11" s="10">
        <f t="shared" si="2"/>
        <v>-0.11091766826811922</v>
      </c>
      <c r="U11" s="10">
        <f t="shared" si="3"/>
        <v>4.2949419888554344E-2</v>
      </c>
      <c r="V11" s="10">
        <f t="shared" si="4"/>
        <v>6.7412057267019487E-3</v>
      </c>
      <c r="W11" s="10">
        <f t="shared" si="5"/>
        <v>-3.6208214161852395E-2</v>
      </c>
      <c r="X11" s="10"/>
      <c r="Y11" s="10">
        <f t="shared" si="6"/>
        <v>-9.7005647476225199E-2</v>
      </c>
      <c r="Z11" s="10">
        <f t="shared" si="7"/>
        <v>-7.840165012286951E-2</v>
      </c>
      <c r="AA11" s="10">
        <f t="shared" si="8"/>
        <v>-0.12432500964760085</v>
      </c>
      <c r="AB11" s="10">
        <f t="shared" si="9"/>
        <v>1.8603997353355689E-2</v>
      </c>
      <c r="AC11" s="10">
        <f t="shared" si="10"/>
        <v>-2.731936217137565E-2</v>
      </c>
      <c r="AD11" s="10">
        <f t="shared" si="11"/>
        <v>-4.5923359524731339E-2</v>
      </c>
      <c r="AE11" s="10"/>
      <c r="AF11" s="10">
        <f t="shared" si="12"/>
        <v>-0.11536849722121403</v>
      </c>
      <c r="AG11" s="10">
        <f t="shared" si="13"/>
        <v>-7.8878515461055218E-2</v>
      </c>
      <c r="AH11" s="10">
        <f t="shared" si="14"/>
        <v>-0.11790943257858968</v>
      </c>
      <c r="AI11" s="10">
        <f t="shared" si="15"/>
        <v>3.6489981760158816E-2</v>
      </c>
      <c r="AJ11" s="10">
        <f t="shared" si="16"/>
        <v>-2.540935357375651E-3</v>
      </c>
      <c r="AK11" s="10">
        <f t="shared" si="17"/>
        <v>-3.9030917117534467E-2</v>
      </c>
    </row>
    <row r="12" spans="2:37" x14ac:dyDescent="0.25">
      <c r="B12" s="6">
        <v>12</v>
      </c>
      <c r="C12" s="6">
        <v>15</v>
      </c>
      <c r="D12" s="6">
        <v>50</v>
      </c>
      <c r="E12" s="16">
        <v>0</v>
      </c>
      <c r="F12" s="18">
        <v>0.10511354233098417</v>
      </c>
      <c r="G12" s="18">
        <v>4.056380362179899E-2</v>
      </c>
      <c r="H12" s="18">
        <v>0.1299912269838629</v>
      </c>
      <c r="I12" s="18">
        <v>1.3993952620395913E-3</v>
      </c>
      <c r="J12" s="18">
        <v>8.6999735205557649E-2</v>
      </c>
      <c r="K12" s="18">
        <v>6.5705610225937933E-2</v>
      </c>
      <c r="L12" s="18">
        <v>0.13934115997089294</v>
      </c>
      <c r="M12" s="18">
        <v>1.8410316960918588E-3</v>
      </c>
      <c r="N12" s="18">
        <v>0.13650132802656886</v>
      </c>
      <c r="O12" s="18">
        <v>7.8563384065918951E-2</v>
      </c>
      <c r="P12" s="18">
        <v>0.11422318730537315</v>
      </c>
      <c r="R12" s="10">
        <f t="shared" si="0"/>
        <v>-0.10511354233098417</v>
      </c>
      <c r="S12" s="10">
        <f t="shared" si="1"/>
        <v>-4.056380362179899E-2</v>
      </c>
      <c r="T12" s="10">
        <f t="shared" si="2"/>
        <v>-0.1299912269838629</v>
      </c>
      <c r="U12" s="10">
        <f t="shared" si="3"/>
        <v>6.4549738709185178E-2</v>
      </c>
      <c r="V12" s="10">
        <f t="shared" si="4"/>
        <v>-2.487768465287872E-2</v>
      </c>
      <c r="W12" s="10">
        <f t="shared" si="5"/>
        <v>-8.9427423362063913E-2</v>
      </c>
      <c r="X12" s="10"/>
      <c r="Y12" s="10">
        <f t="shared" si="6"/>
        <v>-8.5600339943518053E-2</v>
      </c>
      <c r="Z12" s="10">
        <f t="shared" si="7"/>
        <v>-6.4306214963898337E-2</v>
      </c>
      <c r="AA12" s="10">
        <f t="shared" si="8"/>
        <v>-0.13794176470885336</v>
      </c>
      <c r="AB12" s="10">
        <f t="shared" si="9"/>
        <v>2.1294124979619716E-2</v>
      </c>
      <c r="AC12" s="10">
        <f t="shared" si="10"/>
        <v>-5.2341424765335293E-2</v>
      </c>
      <c r="AD12" s="10">
        <f t="shared" si="11"/>
        <v>-7.3635549744955009E-2</v>
      </c>
      <c r="AE12" s="10"/>
      <c r="AF12" s="10">
        <f t="shared" si="12"/>
        <v>-0.13466029633047699</v>
      </c>
      <c r="AG12" s="10">
        <f t="shared" si="13"/>
        <v>-7.6722352369827093E-2</v>
      </c>
      <c r="AH12" s="10">
        <f t="shared" si="14"/>
        <v>-0.11238215560928129</v>
      </c>
      <c r="AI12" s="10">
        <f t="shared" si="15"/>
        <v>5.7937943960649912E-2</v>
      </c>
      <c r="AJ12" s="10">
        <f t="shared" si="16"/>
        <v>2.2278140721195716E-2</v>
      </c>
      <c r="AK12" s="10">
        <f t="shared" si="17"/>
        <v>-3.5659803239454196E-2</v>
      </c>
    </row>
    <row r="13" spans="2:37" x14ac:dyDescent="0.25">
      <c r="B13" s="6">
        <v>16</v>
      </c>
      <c r="C13" s="6">
        <v>5</v>
      </c>
      <c r="D13" s="6">
        <v>30</v>
      </c>
      <c r="E13" s="16">
        <v>0</v>
      </c>
      <c r="F13" s="18">
        <v>0.12353477810701219</v>
      </c>
      <c r="G13" s="18">
        <v>6.9127086010692965E-2</v>
      </c>
      <c r="H13" s="18">
        <v>0.13914879566757826</v>
      </c>
      <c r="I13" s="18">
        <v>2.5909804684920721E-3</v>
      </c>
      <c r="J13" s="18">
        <v>0.11885220906262717</v>
      </c>
      <c r="K13" s="18">
        <v>4.8931005824117836E-2</v>
      </c>
      <c r="L13" s="18">
        <v>0.11198470575047419</v>
      </c>
      <c r="M13" s="18">
        <v>0</v>
      </c>
      <c r="N13" s="18">
        <v>0.1127707655387475</v>
      </c>
      <c r="O13" s="18">
        <v>6.1575205337597215E-2</v>
      </c>
      <c r="P13" s="18">
        <v>0.11748449337733857</v>
      </c>
      <c r="R13" s="10">
        <f t="shared" si="0"/>
        <v>-0.12353477810701219</v>
      </c>
      <c r="S13" s="10">
        <f t="shared" si="1"/>
        <v>-6.9127086010692965E-2</v>
      </c>
      <c r="T13" s="10">
        <f t="shared" si="2"/>
        <v>-0.13914879566757826</v>
      </c>
      <c r="U13" s="10">
        <f t="shared" si="3"/>
        <v>5.4407692096319224E-2</v>
      </c>
      <c r="V13" s="10">
        <f t="shared" si="4"/>
        <v>-1.5614017560566074E-2</v>
      </c>
      <c r="W13" s="10">
        <f t="shared" si="5"/>
        <v>-7.0021709656885298E-2</v>
      </c>
      <c r="X13" s="10"/>
      <c r="Y13" s="10">
        <f t="shared" si="6"/>
        <v>-0.1162612285941351</v>
      </c>
      <c r="Z13" s="10">
        <f t="shared" si="7"/>
        <v>-4.6340025355625765E-2</v>
      </c>
      <c r="AA13" s="10">
        <f t="shared" si="8"/>
        <v>-0.10939372528198212</v>
      </c>
      <c r="AB13" s="10">
        <f t="shared" si="9"/>
        <v>6.9921203238509338E-2</v>
      </c>
      <c r="AC13" s="10">
        <f t="shared" si="10"/>
        <v>6.867503312152981E-3</v>
      </c>
      <c r="AD13" s="10">
        <f t="shared" si="11"/>
        <v>-6.3053699926356344E-2</v>
      </c>
      <c r="AE13" s="10"/>
      <c r="AF13" s="10">
        <f t="shared" si="12"/>
        <v>-0.1127707655387475</v>
      </c>
      <c r="AG13" s="10">
        <f t="shared" si="13"/>
        <v>-6.1575205337597215E-2</v>
      </c>
      <c r="AH13" s="10">
        <f t="shared" si="14"/>
        <v>-0.11748449337733857</v>
      </c>
      <c r="AI13" s="10">
        <f t="shared" si="15"/>
        <v>5.1195560201150285E-2</v>
      </c>
      <c r="AJ13" s="10">
        <f t="shared" si="16"/>
        <v>-4.7137278385910725E-3</v>
      </c>
      <c r="AK13" s="10">
        <f t="shared" si="17"/>
        <v>-5.5909288039741357E-2</v>
      </c>
    </row>
    <row r="14" spans="2:37" x14ac:dyDescent="0.25">
      <c r="B14" s="6">
        <v>16</v>
      </c>
      <c r="C14" s="6">
        <v>5</v>
      </c>
      <c r="D14" s="6">
        <v>40</v>
      </c>
      <c r="E14" s="16">
        <v>0</v>
      </c>
      <c r="F14" s="18">
        <v>0.13569046163279036</v>
      </c>
      <c r="G14" s="18">
        <v>8.2153436724139994E-2</v>
      </c>
      <c r="H14" s="18">
        <v>0.12128398217066219</v>
      </c>
      <c r="I14" s="18">
        <v>0</v>
      </c>
      <c r="J14" s="18">
        <v>0.11030843563282122</v>
      </c>
      <c r="K14" s="18">
        <v>3.2670298550093124E-2</v>
      </c>
      <c r="L14" s="18">
        <v>0.10981859324675577</v>
      </c>
      <c r="M14" s="18">
        <v>1.13443960085581E-2</v>
      </c>
      <c r="N14" s="18">
        <v>9.8219993033023284E-2</v>
      </c>
      <c r="O14" s="18">
        <v>3.1669348754278778E-2</v>
      </c>
      <c r="P14" s="18">
        <v>0.1171187222783439</v>
      </c>
      <c r="R14" s="10">
        <f t="shared" si="0"/>
        <v>-0.13569046163279036</v>
      </c>
      <c r="S14" s="10">
        <f t="shared" si="1"/>
        <v>-8.2153436724139994E-2</v>
      </c>
      <c r="T14" s="10">
        <f t="shared" si="2"/>
        <v>-0.12128398217066219</v>
      </c>
      <c r="U14" s="10">
        <f t="shared" si="3"/>
        <v>5.3537024908650366E-2</v>
      </c>
      <c r="V14" s="10">
        <f t="shared" si="4"/>
        <v>1.4406479462128169E-2</v>
      </c>
      <c r="W14" s="10">
        <f t="shared" si="5"/>
        <v>-3.9130545446522197E-2</v>
      </c>
      <c r="X14" s="10"/>
      <c r="Y14" s="10">
        <f t="shared" si="6"/>
        <v>-0.11030843563282122</v>
      </c>
      <c r="Z14" s="10">
        <f t="shared" si="7"/>
        <v>-3.2670298550093124E-2</v>
      </c>
      <c r="AA14" s="10">
        <f t="shared" si="8"/>
        <v>-0.10981859324675577</v>
      </c>
      <c r="AB14" s="10">
        <f t="shared" si="9"/>
        <v>7.7638137082728098E-2</v>
      </c>
      <c r="AC14" s="10">
        <f t="shared" si="10"/>
        <v>4.8984238606544772E-4</v>
      </c>
      <c r="AD14" s="10">
        <f t="shared" si="11"/>
        <v>-7.714829469666265E-2</v>
      </c>
      <c r="AE14" s="10"/>
      <c r="AF14" s="10">
        <f t="shared" si="12"/>
        <v>-8.6875597024465179E-2</v>
      </c>
      <c r="AG14" s="10">
        <f t="shared" si="13"/>
        <v>-2.032495274572068E-2</v>
      </c>
      <c r="AH14" s="10">
        <f t="shared" si="14"/>
        <v>-0.10577432626978579</v>
      </c>
      <c r="AI14" s="10">
        <f t="shared" si="15"/>
        <v>6.6550644278744506E-2</v>
      </c>
      <c r="AJ14" s="10">
        <f t="shared" si="16"/>
        <v>-1.8898729245320614E-2</v>
      </c>
      <c r="AK14" s="10">
        <f t="shared" si="17"/>
        <v>-8.544937352406512E-2</v>
      </c>
    </row>
    <row r="15" spans="2:37" x14ac:dyDescent="0.25">
      <c r="B15" s="6">
        <v>16</v>
      </c>
      <c r="C15" s="6">
        <v>5</v>
      </c>
      <c r="D15" s="6">
        <v>50</v>
      </c>
      <c r="E15" s="16">
        <v>0</v>
      </c>
      <c r="F15" s="18">
        <v>0.12528271212704692</v>
      </c>
      <c r="G15" s="18">
        <v>2.5139095484243396E-2</v>
      </c>
      <c r="H15" s="18">
        <v>0.11408023936322771</v>
      </c>
      <c r="I15" s="18">
        <v>0</v>
      </c>
      <c r="J15" s="18">
        <v>0.11423379519729659</v>
      </c>
      <c r="K15" s="18">
        <v>3.7835194480471457E-2</v>
      </c>
      <c r="L15" s="18">
        <v>0.10400394503581431</v>
      </c>
      <c r="M15" s="18">
        <v>0</v>
      </c>
      <c r="N15" s="18">
        <v>0.10744005862400138</v>
      </c>
      <c r="O15" s="18">
        <v>5.6730378143954471E-2</v>
      </c>
      <c r="P15" s="18">
        <v>7.4740837840227087E-2</v>
      </c>
      <c r="R15" s="10">
        <f t="shared" si="0"/>
        <v>-0.12528271212704692</v>
      </c>
      <c r="S15" s="10">
        <f t="shared" si="1"/>
        <v>-2.5139095484243396E-2</v>
      </c>
      <c r="T15" s="10">
        <f t="shared" si="2"/>
        <v>-0.11408023936322771</v>
      </c>
      <c r="U15" s="10">
        <f t="shared" si="3"/>
        <v>0.10014361664280352</v>
      </c>
      <c r="V15" s="10">
        <f t="shared" si="4"/>
        <v>1.1202472763819207E-2</v>
      </c>
      <c r="W15" s="10">
        <f t="shared" si="5"/>
        <v>-8.8941143878984316E-2</v>
      </c>
      <c r="X15" s="10"/>
      <c r="Y15" s="10">
        <f t="shared" si="6"/>
        <v>-0.11423379519729659</v>
      </c>
      <c r="Z15" s="10">
        <f t="shared" si="7"/>
        <v>-3.7835194480471457E-2</v>
      </c>
      <c r="AA15" s="10">
        <f t="shared" si="8"/>
        <v>-0.10400394503581431</v>
      </c>
      <c r="AB15" s="10">
        <f t="shared" si="9"/>
        <v>7.6398600716825138E-2</v>
      </c>
      <c r="AC15" s="10">
        <f t="shared" si="10"/>
        <v>1.0229850161482285E-2</v>
      </c>
      <c r="AD15" s="10">
        <f t="shared" si="11"/>
        <v>-6.6168750555342853E-2</v>
      </c>
      <c r="AE15" s="10"/>
      <c r="AF15" s="10">
        <f t="shared" si="12"/>
        <v>-0.10744005862400138</v>
      </c>
      <c r="AG15" s="10">
        <f t="shared" si="13"/>
        <v>-5.6730378143954471E-2</v>
      </c>
      <c r="AH15" s="10">
        <f t="shared" si="14"/>
        <v>-7.4740837840227087E-2</v>
      </c>
      <c r="AI15" s="10">
        <f t="shared" si="15"/>
        <v>5.0709680480046912E-2</v>
      </c>
      <c r="AJ15" s="10">
        <f t="shared" si="16"/>
        <v>3.2699220783774297E-2</v>
      </c>
      <c r="AK15" s="10">
        <f t="shared" si="17"/>
        <v>-1.8010459696272615E-2</v>
      </c>
    </row>
    <row r="16" spans="2:37" x14ac:dyDescent="0.25">
      <c r="B16" s="6">
        <v>16</v>
      </c>
      <c r="C16" s="6">
        <v>10</v>
      </c>
      <c r="D16" s="6">
        <v>30</v>
      </c>
      <c r="E16" s="16">
        <v>0</v>
      </c>
      <c r="F16" s="18">
        <v>0.10573754913952502</v>
      </c>
      <c r="G16" s="18">
        <v>7.0924557353054099E-2</v>
      </c>
      <c r="H16" s="18">
        <v>0.11225545313369131</v>
      </c>
      <c r="I16" s="18">
        <v>0</v>
      </c>
      <c r="J16" s="18">
        <v>0.1209543351554658</v>
      </c>
      <c r="K16" s="18">
        <v>8.4951771715963617E-2</v>
      </c>
      <c r="L16" s="18">
        <v>0.13717468689141937</v>
      </c>
      <c r="M16" s="18">
        <v>0</v>
      </c>
      <c r="N16" s="18">
        <v>0.14714743713630848</v>
      </c>
      <c r="O16" s="18">
        <v>9.3199466566887809E-2</v>
      </c>
      <c r="P16" s="18">
        <v>0.13282040756492863</v>
      </c>
      <c r="R16" s="10">
        <f t="shared" si="0"/>
        <v>-0.10573754913952502</v>
      </c>
      <c r="S16" s="10">
        <f t="shared" si="1"/>
        <v>-7.0924557353054099E-2</v>
      </c>
      <c r="T16" s="10">
        <f t="shared" si="2"/>
        <v>-0.11225545313369131</v>
      </c>
      <c r="U16" s="10">
        <f t="shared" si="3"/>
        <v>3.4812991786470918E-2</v>
      </c>
      <c r="V16" s="10">
        <f t="shared" si="4"/>
        <v>-6.5179039941662964E-3</v>
      </c>
      <c r="W16" s="10">
        <f t="shared" si="5"/>
        <v>-4.1330895780637214E-2</v>
      </c>
      <c r="X16" s="10"/>
      <c r="Y16" s="10">
        <f t="shared" si="6"/>
        <v>-0.1209543351554658</v>
      </c>
      <c r="Z16" s="10">
        <f t="shared" si="7"/>
        <v>-8.4951771715963617E-2</v>
      </c>
      <c r="AA16" s="10">
        <f t="shared" si="8"/>
        <v>-0.13717468689141937</v>
      </c>
      <c r="AB16" s="10">
        <f t="shared" si="9"/>
        <v>3.6002563439502186E-2</v>
      </c>
      <c r="AC16" s="10">
        <f t="shared" si="10"/>
        <v>-1.622035173595357E-2</v>
      </c>
      <c r="AD16" s="10">
        <f t="shared" si="11"/>
        <v>-5.2222915175455756E-2</v>
      </c>
      <c r="AE16" s="10"/>
      <c r="AF16" s="10">
        <f t="shared" si="12"/>
        <v>-0.14714743713630848</v>
      </c>
      <c r="AG16" s="10">
        <f t="shared" si="13"/>
        <v>-9.3199466566887809E-2</v>
      </c>
      <c r="AH16" s="10">
        <f t="shared" si="14"/>
        <v>-0.13282040756492863</v>
      </c>
      <c r="AI16" s="10">
        <f t="shared" si="15"/>
        <v>5.3947970569420675E-2</v>
      </c>
      <c r="AJ16" s="10">
        <f t="shared" si="16"/>
        <v>1.4327029571379851E-2</v>
      </c>
      <c r="AK16" s="10">
        <f t="shared" si="17"/>
        <v>-3.9620940998040824E-2</v>
      </c>
    </row>
    <row r="17" spans="2:37" x14ac:dyDescent="0.25">
      <c r="B17" s="6">
        <v>16</v>
      </c>
      <c r="C17" s="6">
        <v>10</v>
      </c>
      <c r="D17" s="6">
        <v>40</v>
      </c>
      <c r="E17" s="16">
        <v>0</v>
      </c>
      <c r="F17" s="18">
        <v>0.13702860822103358</v>
      </c>
      <c r="G17" s="18">
        <v>5.8537581853671403E-2</v>
      </c>
      <c r="H17" s="18">
        <v>0.12734285627451292</v>
      </c>
      <c r="I17" s="18">
        <v>0</v>
      </c>
      <c r="J17" s="18">
        <v>0.14089433453343614</v>
      </c>
      <c r="K17" s="18">
        <v>0.10548187416554325</v>
      </c>
      <c r="L17" s="18">
        <v>0.13647278313759537</v>
      </c>
      <c r="M17" s="18">
        <v>8.0019011958080695E-4</v>
      </c>
      <c r="N17" s="18">
        <v>0.1174514136127022</v>
      </c>
      <c r="O17" s="18">
        <v>6.5368195581322577E-2</v>
      </c>
      <c r="P17" s="18">
        <v>0.11991224911344298</v>
      </c>
      <c r="R17" s="10">
        <f t="shared" si="0"/>
        <v>-0.13702860822103358</v>
      </c>
      <c r="S17" s="10">
        <f t="shared" si="1"/>
        <v>-5.8537581853671403E-2</v>
      </c>
      <c r="T17" s="10">
        <f t="shared" si="2"/>
        <v>-0.12734285627451292</v>
      </c>
      <c r="U17" s="10">
        <f t="shared" si="3"/>
        <v>7.8491026367362174E-2</v>
      </c>
      <c r="V17" s="10">
        <f t="shared" si="4"/>
        <v>9.6857519465206598E-3</v>
      </c>
      <c r="W17" s="10">
        <f t="shared" si="5"/>
        <v>-6.8805274420841514E-2</v>
      </c>
      <c r="X17" s="10"/>
      <c r="Y17" s="10">
        <f t="shared" si="6"/>
        <v>-0.14089433453343614</v>
      </c>
      <c r="Z17" s="10">
        <f t="shared" si="7"/>
        <v>-0.10548187416554325</v>
      </c>
      <c r="AA17" s="10">
        <f t="shared" si="8"/>
        <v>-0.13647278313759537</v>
      </c>
      <c r="AB17" s="10">
        <f t="shared" si="9"/>
        <v>3.541246036789289E-2</v>
      </c>
      <c r="AC17" s="10">
        <f t="shared" si="10"/>
        <v>4.4215513958407726E-3</v>
      </c>
      <c r="AD17" s="10">
        <f t="shared" si="11"/>
        <v>-3.0990908972052117E-2</v>
      </c>
      <c r="AE17" s="10"/>
      <c r="AF17" s="10">
        <f t="shared" si="12"/>
        <v>-0.11665122349312139</v>
      </c>
      <c r="AG17" s="10">
        <f t="shared" si="13"/>
        <v>-6.4568005461741768E-2</v>
      </c>
      <c r="AH17" s="10">
        <f t="shared" si="14"/>
        <v>-0.11911205899386217</v>
      </c>
      <c r="AI17" s="10">
        <f t="shared" si="15"/>
        <v>5.2083218031379622E-2</v>
      </c>
      <c r="AJ17" s="10">
        <f t="shared" si="16"/>
        <v>-2.4608355007407767E-3</v>
      </c>
      <c r="AK17" s="10">
        <f t="shared" si="17"/>
        <v>-5.4544053532120398E-2</v>
      </c>
    </row>
    <row r="18" spans="2:37" x14ac:dyDescent="0.25">
      <c r="B18" s="6">
        <v>16</v>
      </c>
      <c r="C18" s="6">
        <v>10</v>
      </c>
      <c r="D18" s="6">
        <v>50</v>
      </c>
      <c r="E18" s="16">
        <v>0</v>
      </c>
      <c r="F18" s="18">
        <v>0.12226913155619452</v>
      </c>
      <c r="G18" s="18">
        <v>4.4868216653289925E-2</v>
      </c>
      <c r="H18" s="18">
        <v>9.5421320084293534E-2</v>
      </c>
      <c r="I18" s="18">
        <v>4.0596264596313722E-3</v>
      </c>
      <c r="J18" s="18">
        <v>0.11594417175113969</v>
      </c>
      <c r="K18" s="18">
        <v>5.9675982261579975E-2</v>
      </c>
      <c r="L18" s="18">
        <v>0.11273205471615304</v>
      </c>
      <c r="M18" s="18">
        <v>0</v>
      </c>
      <c r="N18" s="18">
        <v>0.14075860515336941</v>
      </c>
      <c r="O18" s="18">
        <v>5.7416232929589896E-2</v>
      </c>
      <c r="P18" s="18">
        <v>9.0754059640511531E-2</v>
      </c>
      <c r="R18" s="10">
        <f t="shared" si="0"/>
        <v>-0.12226913155619452</v>
      </c>
      <c r="S18" s="10">
        <f t="shared" si="1"/>
        <v>-4.4868216653289925E-2</v>
      </c>
      <c r="T18" s="10">
        <f t="shared" si="2"/>
        <v>-9.5421320084293534E-2</v>
      </c>
      <c r="U18" s="10">
        <f t="shared" si="3"/>
        <v>7.74009149029046E-2</v>
      </c>
      <c r="V18" s="10">
        <f t="shared" si="4"/>
        <v>2.684781147190099E-2</v>
      </c>
      <c r="W18" s="10">
        <f t="shared" si="5"/>
        <v>-5.055310343100361E-2</v>
      </c>
      <c r="X18" s="10"/>
      <c r="Y18" s="10">
        <f t="shared" si="6"/>
        <v>-0.11188454529150832</v>
      </c>
      <c r="Z18" s="10">
        <f t="shared" si="7"/>
        <v>-5.5616355801948604E-2</v>
      </c>
      <c r="AA18" s="10">
        <f t="shared" si="8"/>
        <v>-0.10867242825652167</v>
      </c>
      <c r="AB18" s="10">
        <f t="shared" si="9"/>
        <v>5.6268189489559715E-2</v>
      </c>
      <c r="AC18" s="10">
        <f t="shared" si="10"/>
        <v>3.2121170349866529E-3</v>
      </c>
      <c r="AD18" s="10">
        <f t="shared" si="11"/>
        <v>-5.3056072454573062E-2</v>
      </c>
      <c r="AE18" s="10"/>
      <c r="AF18" s="10">
        <f t="shared" si="12"/>
        <v>-0.14075860515336941</v>
      </c>
      <c r="AG18" s="10">
        <f t="shared" si="13"/>
        <v>-5.7416232929589896E-2</v>
      </c>
      <c r="AH18" s="10">
        <f t="shared" si="14"/>
        <v>-9.0754059640511531E-2</v>
      </c>
      <c r="AI18" s="10">
        <f t="shared" si="15"/>
        <v>8.3342372223779521E-2</v>
      </c>
      <c r="AJ18" s="10">
        <f t="shared" si="16"/>
        <v>5.0004545512857879E-2</v>
      </c>
      <c r="AK18" s="10">
        <f t="shared" si="17"/>
        <v>-3.3337826710921635E-2</v>
      </c>
    </row>
    <row r="19" spans="2:37" x14ac:dyDescent="0.25">
      <c r="B19" s="6">
        <v>16</v>
      </c>
      <c r="C19" s="6">
        <v>15</v>
      </c>
      <c r="D19" s="6">
        <v>30</v>
      </c>
      <c r="E19" s="16">
        <v>0</v>
      </c>
      <c r="F19" s="18">
        <v>0.29554697355797033</v>
      </c>
      <c r="G19" s="18">
        <v>0.12590690459730611</v>
      </c>
      <c r="H19" s="18">
        <v>0.13395628934382592</v>
      </c>
      <c r="I19" s="18">
        <v>0</v>
      </c>
      <c r="J19" s="18">
        <v>0.20468284853734614</v>
      </c>
      <c r="K19" s="18">
        <v>0.17900536601478809</v>
      </c>
      <c r="L19" s="18">
        <v>0.11816367080676407</v>
      </c>
      <c r="M19" s="18">
        <v>0</v>
      </c>
      <c r="N19" s="18">
        <v>0.13331883870382111</v>
      </c>
      <c r="O19" s="18">
        <v>6.2537360765355349E-2</v>
      </c>
      <c r="P19" s="18">
        <v>0.11510705593991868</v>
      </c>
      <c r="R19" s="10">
        <f t="shared" si="0"/>
        <v>-0.29554697355797033</v>
      </c>
      <c r="S19" s="10">
        <f t="shared" si="1"/>
        <v>-0.12590690459730611</v>
      </c>
      <c r="T19" s="10">
        <f t="shared" si="2"/>
        <v>-0.13395628934382592</v>
      </c>
      <c r="U19" s="10">
        <f t="shared" si="3"/>
        <v>0.16964006896066422</v>
      </c>
      <c r="V19" s="10">
        <f t="shared" si="4"/>
        <v>0.16159068421414441</v>
      </c>
      <c r="W19" s="10">
        <f t="shared" si="5"/>
        <v>-8.049384746519811E-3</v>
      </c>
      <c r="X19" s="10"/>
      <c r="Y19" s="10">
        <f t="shared" si="6"/>
        <v>-0.20468284853734614</v>
      </c>
      <c r="Z19" s="10">
        <f t="shared" si="7"/>
        <v>-0.17900536601478809</v>
      </c>
      <c r="AA19" s="10">
        <f t="shared" si="8"/>
        <v>-0.11816367080676407</v>
      </c>
      <c r="AB19" s="10">
        <f t="shared" si="9"/>
        <v>2.5677482522558054E-2</v>
      </c>
      <c r="AC19" s="10">
        <f t="shared" si="10"/>
        <v>8.651917773058207E-2</v>
      </c>
      <c r="AD19" s="10">
        <f t="shared" si="11"/>
        <v>6.0841695208024016E-2</v>
      </c>
      <c r="AE19" s="10"/>
      <c r="AF19" s="10">
        <f t="shared" si="12"/>
        <v>-0.13331883870382111</v>
      </c>
      <c r="AG19" s="10">
        <f t="shared" si="13"/>
        <v>-6.2537360765355349E-2</v>
      </c>
      <c r="AH19" s="10">
        <f t="shared" si="14"/>
        <v>-0.11510705593991868</v>
      </c>
      <c r="AI19" s="10">
        <f t="shared" si="15"/>
        <v>7.0781477938465759E-2</v>
      </c>
      <c r="AJ19" s="10">
        <f t="shared" si="16"/>
        <v>1.8211782763902423E-2</v>
      </c>
      <c r="AK19" s="10">
        <f t="shared" si="17"/>
        <v>-5.2569695174563336E-2</v>
      </c>
    </row>
    <row r="20" spans="2:37" x14ac:dyDescent="0.25">
      <c r="B20" s="6">
        <v>16</v>
      </c>
      <c r="C20" s="6">
        <v>15</v>
      </c>
      <c r="D20" s="6">
        <v>40</v>
      </c>
      <c r="E20" s="16">
        <v>0</v>
      </c>
      <c r="F20" s="18">
        <v>8.7850791937337885E-2</v>
      </c>
      <c r="G20" s="18">
        <v>8.597353708661068E-2</v>
      </c>
      <c r="H20" s="18">
        <v>0.10229847738328224</v>
      </c>
      <c r="I20" s="18">
        <v>0</v>
      </c>
      <c r="J20" s="18">
        <v>0.16707242976157388</v>
      </c>
      <c r="K20" s="18">
        <v>8.9934775666741629E-2</v>
      </c>
      <c r="L20" s="18">
        <v>0.11185221915599705</v>
      </c>
      <c r="M20" s="18">
        <v>0</v>
      </c>
      <c r="N20" s="18">
        <v>0.11006625627833599</v>
      </c>
      <c r="O20" s="18">
        <v>5.3025176587798359E-2</v>
      </c>
      <c r="P20" s="18">
        <v>0.14640045373021027</v>
      </c>
      <c r="R20" s="10">
        <f t="shared" si="0"/>
        <v>-8.7850791937337885E-2</v>
      </c>
      <c r="S20" s="10">
        <f t="shared" si="1"/>
        <v>-8.597353708661068E-2</v>
      </c>
      <c r="T20" s="10">
        <f t="shared" si="2"/>
        <v>-0.10229847738328224</v>
      </c>
      <c r="U20" s="10">
        <f t="shared" si="3"/>
        <v>1.8772548507272058E-3</v>
      </c>
      <c r="V20" s="10">
        <f t="shared" si="4"/>
        <v>-1.4447685445944353E-2</v>
      </c>
      <c r="W20" s="10">
        <f t="shared" si="5"/>
        <v>-1.6324940296671558E-2</v>
      </c>
      <c r="X20" s="10"/>
      <c r="Y20" s="10">
        <f t="shared" si="6"/>
        <v>-0.16707242976157388</v>
      </c>
      <c r="Z20" s="10">
        <f t="shared" si="7"/>
        <v>-8.9934775666741629E-2</v>
      </c>
      <c r="AA20" s="10">
        <f t="shared" si="8"/>
        <v>-0.11185221915599705</v>
      </c>
      <c r="AB20" s="10">
        <f t="shared" si="9"/>
        <v>7.7137654094832253E-2</v>
      </c>
      <c r="AC20" s="10">
        <f t="shared" si="10"/>
        <v>5.522021060557683E-2</v>
      </c>
      <c r="AD20" s="10">
        <f t="shared" si="11"/>
        <v>-2.1917443489255423E-2</v>
      </c>
      <c r="AE20" s="10"/>
      <c r="AF20" s="10">
        <f t="shared" si="12"/>
        <v>-0.11006625627833599</v>
      </c>
      <c r="AG20" s="10">
        <f t="shared" si="13"/>
        <v>-5.3025176587798359E-2</v>
      </c>
      <c r="AH20" s="10">
        <f t="shared" si="14"/>
        <v>-0.14640045373021027</v>
      </c>
      <c r="AI20" s="10">
        <f t="shared" si="15"/>
        <v>5.7041079690537635E-2</v>
      </c>
      <c r="AJ20" s="10">
        <f t="shared" si="16"/>
        <v>-3.6334197451874273E-2</v>
      </c>
      <c r="AK20" s="10">
        <f t="shared" si="17"/>
        <v>-9.3375277142411908E-2</v>
      </c>
    </row>
    <row r="21" spans="2:37" x14ac:dyDescent="0.25">
      <c r="B21" s="6">
        <v>16</v>
      </c>
      <c r="C21" s="6">
        <v>15</v>
      </c>
      <c r="D21" s="6">
        <v>50</v>
      </c>
      <c r="E21" s="16">
        <v>0</v>
      </c>
      <c r="F21" s="18">
        <v>0.14480500835705587</v>
      </c>
      <c r="G21" s="18">
        <v>5.7362919630016183E-2</v>
      </c>
      <c r="H21" s="18">
        <v>0.11145812058847571</v>
      </c>
      <c r="I21" s="18">
        <v>0</v>
      </c>
      <c r="J21" s="18">
        <v>0.15739035464794832</v>
      </c>
      <c r="K21" s="18">
        <v>2.5556710506298708E-2</v>
      </c>
      <c r="L21" s="18">
        <v>0.11064801202521216</v>
      </c>
      <c r="M21" s="18">
        <v>0</v>
      </c>
      <c r="N21" s="18">
        <v>0.10967319072442638</v>
      </c>
      <c r="O21" s="18">
        <v>5.3250969342431821E-2</v>
      </c>
      <c r="P21" s="18">
        <v>8.4625692850014894E-2</v>
      </c>
      <c r="R21" s="10">
        <f t="shared" si="0"/>
        <v>-0.14480500835705587</v>
      </c>
      <c r="S21" s="10">
        <f t="shared" si="1"/>
        <v>-5.7362919630016183E-2</v>
      </c>
      <c r="T21" s="10">
        <f t="shared" si="2"/>
        <v>-0.11145812058847571</v>
      </c>
      <c r="U21" s="10">
        <f t="shared" si="3"/>
        <v>8.744208872703968E-2</v>
      </c>
      <c r="V21" s="10">
        <f t="shared" si="4"/>
        <v>3.3346887768580163E-2</v>
      </c>
      <c r="W21" s="10">
        <f t="shared" si="5"/>
        <v>-5.4095200958459523E-2</v>
      </c>
      <c r="X21" s="10"/>
      <c r="Y21" s="10">
        <f t="shared" si="6"/>
        <v>-0.15739035464794832</v>
      </c>
      <c r="Z21" s="10">
        <f t="shared" si="7"/>
        <v>-2.5556710506298708E-2</v>
      </c>
      <c r="AA21" s="10">
        <f t="shared" si="8"/>
        <v>-0.11064801202521216</v>
      </c>
      <c r="AB21" s="10">
        <f t="shared" si="9"/>
        <v>0.13183364414164961</v>
      </c>
      <c r="AC21" s="10">
        <f t="shared" si="10"/>
        <v>4.674234262273616E-2</v>
      </c>
      <c r="AD21" s="10">
        <f t="shared" si="11"/>
        <v>-8.5091301518913448E-2</v>
      </c>
      <c r="AE21" s="10"/>
      <c r="AF21" s="10">
        <f t="shared" si="12"/>
        <v>-0.10967319072442638</v>
      </c>
      <c r="AG21" s="10">
        <f t="shared" si="13"/>
        <v>-5.3250969342431821E-2</v>
      </c>
      <c r="AH21" s="10">
        <f t="shared" si="14"/>
        <v>-8.4625692850014894E-2</v>
      </c>
      <c r="AI21" s="10">
        <f t="shared" si="15"/>
        <v>5.6422221381994563E-2</v>
      </c>
      <c r="AJ21" s="10">
        <f t="shared" si="16"/>
        <v>2.504749787441149E-2</v>
      </c>
      <c r="AK21" s="10">
        <f t="shared" si="17"/>
        <v>-3.1374723507583073E-2</v>
      </c>
    </row>
    <row r="22" spans="2:37" x14ac:dyDescent="0.25">
      <c r="B22" s="6">
        <v>20</v>
      </c>
      <c r="C22" s="6">
        <v>5</v>
      </c>
      <c r="D22" s="6">
        <v>30</v>
      </c>
      <c r="E22" s="16">
        <v>0</v>
      </c>
      <c r="F22" s="18">
        <v>0.18155258819314918</v>
      </c>
      <c r="G22" s="18">
        <v>3.0102661984911287E-2</v>
      </c>
      <c r="H22" s="18">
        <v>0.11050311143849387</v>
      </c>
      <c r="I22" s="18">
        <v>0</v>
      </c>
      <c r="J22" s="18">
        <v>8.5732004427444317E-2</v>
      </c>
      <c r="K22" s="18">
        <v>5.0207581858965109E-2</v>
      </c>
      <c r="L22" s="18">
        <v>0.12419116369501589</v>
      </c>
      <c r="M22" s="18">
        <v>0</v>
      </c>
      <c r="N22" s="18">
        <v>0.10727297806876639</v>
      </c>
      <c r="O22" s="18">
        <v>4.1739432121352442E-2</v>
      </c>
      <c r="P22" s="18">
        <v>0.1992488661033448</v>
      </c>
      <c r="R22" s="10">
        <f t="shared" si="0"/>
        <v>-0.18155258819314918</v>
      </c>
      <c r="S22" s="10">
        <f t="shared" si="1"/>
        <v>-3.0102661984911287E-2</v>
      </c>
      <c r="T22" s="10">
        <f t="shared" si="2"/>
        <v>-0.11050311143849387</v>
      </c>
      <c r="U22" s="10">
        <f t="shared" si="3"/>
        <v>0.15144992620823788</v>
      </c>
      <c r="V22" s="10">
        <f t="shared" si="4"/>
        <v>7.1049476754655311E-2</v>
      </c>
      <c r="W22" s="10">
        <f t="shared" si="5"/>
        <v>-8.0400449453582573E-2</v>
      </c>
      <c r="X22" s="10"/>
      <c r="Y22" s="10">
        <f t="shared" si="6"/>
        <v>-8.5732004427444317E-2</v>
      </c>
      <c r="Z22" s="10">
        <f t="shared" si="7"/>
        <v>-5.0207581858965109E-2</v>
      </c>
      <c r="AA22" s="10">
        <f t="shared" si="8"/>
        <v>-0.12419116369501589</v>
      </c>
      <c r="AB22" s="10">
        <f t="shared" si="9"/>
        <v>3.5524422568479208E-2</v>
      </c>
      <c r="AC22" s="10">
        <f t="shared" si="10"/>
        <v>-3.8459159267571569E-2</v>
      </c>
      <c r="AD22" s="10">
        <f t="shared" si="11"/>
        <v>-7.3983581836050777E-2</v>
      </c>
      <c r="AE22" s="10"/>
      <c r="AF22" s="10">
        <f t="shared" si="12"/>
        <v>-0.10727297806876639</v>
      </c>
      <c r="AG22" s="10">
        <f t="shared" si="13"/>
        <v>-4.1739432121352442E-2</v>
      </c>
      <c r="AH22" s="10">
        <f t="shared" si="14"/>
        <v>-0.1992488661033448</v>
      </c>
      <c r="AI22" s="10">
        <f t="shared" si="15"/>
        <v>6.5533545947413951E-2</v>
      </c>
      <c r="AJ22" s="10">
        <f t="shared" si="16"/>
        <v>-9.1975888034578415E-2</v>
      </c>
      <c r="AK22" s="10">
        <f t="shared" si="17"/>
        <v>-0.15750943398199235</v>
      </c>
    </row>
    <row r="23" spans="2:37" x14ac:dyDescent="0.25">
      <c r="B23" s="6">
        <v>20</v>
      </c>
      <c r="C23" s="6">
        <v>5</v>
      </c>
      <c r="D23" s="6">
        <v>40</v>
      </c>
      <c r="E23" s="16">
        <v>1.5215311898151818E-3</v>
      </c>
      <c r="F23" s="18">
        <v>0.11441178699223764</v>
      </c>
      <c r="G23" s="18">
        <v>3.5234650524857802E-2</v>
      </c>
      <c r="H23" s="18">
        <v>0.16559159314443841</v>
      </c>
      <c r="I23" s="18">
        <v>0</v>
      </c>
      <c r="J23" s="18">
        <v>0.1158609831264226</v>
      </c>
      <c r="K23" s="18">
        <v>4.4622054312972205E-2</v>
      </c>
      <c r="L23" s="18">
        <v>0.11491140371483674</v>
      </c>
      <c r="M23" s="18">
        <v>0</v>
      </c>
      <c r="N23" s="18">
        <v>9.7235490201613733E-2</v>
      </c>
      <c r="O23" s="18">
        <v>5.3976710285647066E-2</v>
      </c>
      <c r="P23" s="18">
        <v>0.13875783806025593</v>
      </c>
      <c r="R23" s="10">
        <f t="shared" si="0"/>
        <v>-0.11289025580242246</v>
      </c>
      <c r="S23" s="10">
        <f t="shared" si="1"/>
        <v>-3.3713119335042618E-2</v>
      </c>
      <c r="T23" s="10">
        <f t="shared" si="2"/>
        <v>-0.16407006195462323</v>
      </c>
      <c r="U23" s="10">
        <f t="shared" si="3"/>
        <v>7.9177136467379838E-2</v>
      </c>
      <c r="V23" s="10">
        <f t="shared" si="4"/>
        <v>-5.1179806152200774E-2</v>
      </c>
      <c r="W23" s="10">
        <f t="shared" si="5"/>
        <v>-0.13035694261958061</v>
      </c>
      <c r="X23" s="10"/>
      <c r="Y23" s="10">
        <f t="shared" si="6"/>
        <v>-0.1158609831264226</v>
      </c>
      <c r="Z23" s="10">
        <f t="shared" si="7"/>
        <v>-4.4622054312972205E-2</v>
      </c>
      <c r="AA23" s="10">
        <f t="shared" si="8"/>
        <v>-0.11491140371483674</v>
      </c>
      <c r="AB23" s="10">
        <f t="shared" si="9"/>
        <v>7.1238928813450397E-2</v>
      </c>
      <c r="AC23" s="10">
        <f t="shared" si="10"/>
        <v>9.4957941158585468E-4</v>
      </c>
      <c r="AD23" s="10">
        <f t="shared" si="11"/>
        <v>-7.0289349401864543E-2</v>
      </c>
      <c r="AE23" s="10"/>
      <c r="AF23" s="10">
        <f t="shared" si="12"/>
        <v>-9.7235490201613733E-2</v>
      </c>
      <c r="AG23" s="10">
        <f t="shared" si="13"/>
        <v>-5.3976710285647066E-2</v>
      </c>
      <c r="AH23" s="10">
        <f t="shared" si="14"/>
        <v>-0.13875783806025593</v>
      </c>
      <c r="AI23" s="10">
        <f t="shared" si="15"/>
        <v>4.3258779915966668E-2</v>
      </c>
      <c r="AJ23" s="10">
        <f t="shared" si="16"/>
        <v>-4.15223478586422E-2</v>
      </c>
      <c r="AK23" s="10">
        <f t="shared" si="17"/>
        <v>-8.4781127774608861E-2</v>
      </c>
    </row>
    <row r="24" spans="2:37" x14ac:dyDescent="0.25">
      <c r="B24" s="6">
        <v>20</v>
      </c>
      <c r="C24" s="6">
        <v>5</v>
      </c>
      <c r="D24" s="6">
        <v>50</v>
      </c>
      <c r="E24" s="16">
        <v>2.1081078597131216E-3</v>
      </c>
      <c r="F24" s="18">
        <v>0.10782213131163217</v>
      </c>
      <c r="G24" s="18">
        <v>2.2072907219339709E-2</v>
      </c>
      <c r="H24" s="18">
        <v>0.14059902061678484</v>
      </c>
      <c r="I24" s="18">
        <v>0</v>
      </c>
      <c r="J24" s="18">
        <v>0.10902726246336267</v>
      </c>
      <c r="K24" s="18">
        <v>3.5796224264399969E-2</v>
      </c>
      <c r="L24" s="18">
        <v>0.12464946395399903</v>
      </c>
      <c r="M24" s="18">
        <v>2.6043171859256505E-4</v>
      </c>
      <c r="N24" s="18">
        <v>9.4156444254207411E-2</v>
      </c>
      <c r="O24" s="18">
        <v>3.2951740457821121E-2</v>
      </c>
      <c r="P24" s="18">
        <v>0.1251275377294449</v>
      </c>
      <c r="R24" s="10">
        <f t="shared" si="0"/>
        <v>-0.10571402345191905</v>
      </c>
      <c r="S24" s="10">
        <f t="shared" si="1"/>
        <v>-1.9964799359626587E-2</v>
      </c>
      <c r="T24" s="10">
        <f t="shared" si="2"/>
        <v>-0.1384909127570717</v>
      </c>
      <c r="U24" s="10">
        <f t="shared" si="3"/>
        <v>8.5749224092292464E-2</v>
      </c>
      <c r="V24" s="10">
        <f t="shared" si="4"/>
        <v>-3.2776889305152671E-2</v>
      </c>
      <c r="W24" s="10">
        <f t="shared" si="5"/>
        <v>-0.11852611339744512</v>
      </c>
      <c r="X24" s="10"/>
      <c r="Y24" s="10">
        <f t="shared" si="6"/>
        <v>-0.10902726246336267</v>
      </c>
      <c r="Z24" s="10">
        <f t="shared" si="7"/>
        <v>-3.5796224264399969E-2</v>
      </c>
      <c r="AA24" s="10">
        <f t="shared" si="8"/>
        <v>-0.12464946395399903</v>
      </c>
      <c r="AB24" s="10">
        <f t="shared" si="9"/>
        <v>7.3231038198962706E-2</v>
      </c>
      <c r="AC24" s="10">
        <f t="shared" si="10"/>
        <v>-1.5622201490636367E-2</v>
      </c>
      <c r="AD24" s="10">
        <f t="shared" si="11"/>
        <v>-8.8853239689599073E-2</v>
      </c>
      <c r="AE24" s="10"/>
      <c r="AF24" s="10">
        <f t="shared" si="12"/>
        <v>-9.3896012535614845E-2</v>
      </c>
      <c r="AG24" s="10">
        <f t="shared" si="13"/>
        <v>-3.2691308739228556E-2</v>
      </c>
      <c r="AH24" s="10">
        <f t="shared" si="14"/>
        <v>-0.12486710601085234</v>
      </c>
      <c r="AI24" s="10">
        <f t="shared" si="15"/>
        <v>6.1204703796386289E-2</v>
      </c>
      <c r="AJ24" s="10">
        <f t="shared" si="16"/>
        <v>-3.0971093475237493E-2</v>
      </c>
      <c r="AK24" s="10">
        <f t="shared" si="17"/>
        <v>-9.2175797271623783E-2</v>
      </c>
    </row>
    <row r="25" spans="2:37" x14ac:dyDescent="0.25">
      <c r="B25" s="6">
        <v>20</v>
      </c>
      <c r="C25" s="6">
        <v>10</v>
      </c>
      <c r="D25" s="6">
        <v>30</v>
      </c>
      <c r="E25" s="16">
        <v>0</v>
      </c>
      <c r="F25" s="18">
        <v>0.15288221363778556</v>
      </c>
      <c r="G25" s="18">
        <v>6.3399728256006996E-2</v>
      </c>
      <c r="H25" s="18">
        <v>0.11553948719970179</v>
      </c>
      <c r="I25" s="18">
        <v>0</v>
      </c>
      <c r="J25" s="18">
        <v>0.13897325823221246</v>
      </c>
      <c r="K25" s="18">
        <v>6.7638341088799778E-2</v>
      </c>
      <c r="L25" s="18">
        <v>0.12475757557618201</v>
      </c>
      <c r="M25" s="18">
        <v>3.7590069776595528E-3</v>
      </c>
      <c r="N25" s="18">
        <v>0.14639631274139539</v>
      </c>
      <c r="O25" s="18">
        <v>4.1098393303094123E-2</v>
      </c>
      <c r="P25" s="18">
        <v>0.10297671581941073</v>
      </c>
      <c r="R25" s="10">
        <f t="shared" si="0"/>
        <v>-0.15288221363778556</v>
      </c>
      <c r="S25" s="10">
        <f t="shared" si="1"/>
        <v>-6.3399728256006996E-2</v>
      </c>
      <c r="T25" s="10">
        <f t="shared" si="2"/>
        <v>-0.11553948719970179</v>
      </c>
      <c r="U25" s="10">
        <f t="shared" si="3"/>
        <v>8.9482485381778568E-2</v>
      </c>
      <c r="V25" s="10">
        <f t="shared" si="4"/>
        <v>3.734272643808377E-2</v>
      </c>
      <c r="W25" s="10">
        <f t="shared" si="5"/>
        <v>-5.2139758943694797E-2</v>
      </c>
      <c r="X25" s="10"/>
      <c r="Y25" s="10">
        <f t="shared" si="6"/>
        <v>-0.13897325823221246</v>
      </c>
      <c r="Z25" s="10">
        <f t="shared" si="7"/>
        <v>-6.7638341088799778E-2</v>
      </c>
      <c r="AA25" s="10">
        <f t="shared" si="8"/>
        <v>-0.12475757557618201</v>
      </c>
      <c r="AB25" s="10">
        <f t="shared" si="9"/>
        <v>7.1334917143412682E-2</v>
      </c>
      <c r="AC25" s="10">
        <f t="shared" si="10"/>
        <v>1.4215682656030446E-2</v>
      </c>
      <c r="AD25" s="10">
        <f t="shared" si="11"/>
        <v>-5.7119234487382237E-2</v>
      </c>
      <c r="AE25" s="10"/>
      <c r="AF25" s="10">
        <f t="shared" si="12"/>
        <v>-0.14263730576373584</v>
      </c>
      <c r="AG25" s="10">
        <f t="shared" si="13"/>
        <v>-3.733938632543457E-2</v>
      </c>
      <c r="AH25" s="10">
        <f t="shared" si="14"/>
        <v>-9.9217708841751184E-2</v>
      </c>
      <c r="AI25" s="10">
        <f t="shared" si="15"/>
        <v>0.10529791943830127</v>
      </c>
      <c r="AJ25" s="10">
        <f t="shared" si="16"/>
        <v>4.341959692198466E-2</v>
      </c>
      <c r="AK25" s="10">
        <f t="shared" si="17"/>
        <v>-6.1878322516316607E-2</v>
      </c>
    </row>
    <row r="26" spans="2:37" x14ac:dyDescent="0.25">
      <c r="B26" s="6">
        <v>20</v>
      </c>
      <c r="C26" s="6">
        <v>10</v>
      </c>
      <c r="D26" s="6">
        <v>40</v>
      </c>
      <c r="E26" s="16">
        <v>0</v>
      </c>
      <c r="F26" s="18">
        <v>0.15929097166007264</v>
      </c>
      <c r="G26" s="18">
        <v>6.6970000590504369E-2</v>
      </c>
      <c r="H26" s="18">
        <v>0.10702014707917955</v>
      </c>
      <c r="I26" s="18">
        <v>0</v>
      </c>
      <c r="J26" s="18">
        <v>0.11771327081014119</v>
      </c>
      <c r="K26" s="18">
        <v>5.9443101032789956E-2</v>
      </c>
      <c r="L26" s="18">
        <v>0.13248419127436734</v>
      </c>
      <c r="M26" s="18">
        <v>0</v>
      </c>
      <c r="N26" s="18">
        <v>0.11504076538782329</v>
      </c>
      <c r="O26" s="18">
        <v>6.0584226710175812E-2</v>
      </c>
      <c r="P26" s="18">
        <v>9.8873620430727005E-2</v>
      </c>
      <c r="R26" s="10">
        <f t="shared" si="0"/>
        <v>-0.15929097166007264</v>
      </c>
      <c r="S26" s="10">
        <f t="shared" si="1"/>
        <v>-6.6970000590504369E-2</v>
      </c>
      <c r="T26" s="10">
        <f t="shared" si="2"/>
        <v>-0.10702014707917955</v>
      </c>
      <c r="U26" s="10">
        <f t="shared" si="3"/>
        <v>9.2320971069568269E-2</v>
      </c>
      <c r="V26" s="10">
        <f t="shared" si="4"/>
        <v>5.2270824580893091E-2</v>
      </c>
      <c r="W26" s="10">
        <f t="shared" si="5"/>
        <v>-4.0050146488675178E-2</v>
      </c>
      <c r="X26" s="10"/>
      <c r="Y26" s="10">
        <f t="shared" si="6"/>
        <v>-0.11771327081014119</v>
      </c>
      <c r="Z26" s="10">
        <f t="shared" si="7"/>
        <v>-5.9443101032789956E-2</v>
      </c>
      <c r="AA26" s="10">
        <f t="shared" si="8"/>
        <v>-0.13248419127436734</v>
      </c>
      <c r="AB26" s="10">
        <f t="shared" si="9"/>
        <v>5.8270169777351229E-2</v>
      </c>
      <c r="AC26" s="10">
        <f t="shared" si="10"/>
        <v>-1.477092046422615E-2</v>
      </c>
      <c r="AD26" s="10">
        <f t="shared" si="11"/>
        <v>-7.3041090241577372E-2</v>
      </c>
      <c r="AE26" s="10"/>
      <c r="AF26" s="10">
        <f t="shared" si="12"/>
        <v>-0.11504076538782329</v>
      </c>
      <c r="AG26" s="10">
        <f t="shared" si="13"/>
        <v>-6.0584226710175812E-2</v>
      </c>
      <c r="AH26" s="10">
        <f t="shared" si="14"/>
        <v>-9.8873620430727005E-2</v>
      </c>
      <c r="AI26" s="10">
        <f t="shared" si="15"/>
        <v>5.4456538677647479E-2</v>
      </c>
      <c r="AJ26" s="10">
        <f t="shared" si="16"/>
        <v>1.6167144957096286E-2</v>
      </c>
      <c r="AK26" s="10">
        <f t="shared" si="17"/>
        <v>-3.8289393720551193E-2</v>
      </c>
    </row>
    <row r="27" spans="2:37" x14ac:dyDescent="0.25">
      <c r="B27" s="6">
        <v>20</v>
      </c>
      <c r="C27" s="6">
        <v>10</v>
      </c>
      <c r="D27" s="6">
        <v>50</v>
      </c>
      <c r="E27" s="16">
        <v>4.8342923076997828E-3</v>
      </c>
      <c r="F27" s="18">
        <v>0.10626066510657854</v>
      </c>
      <c r="G27" s="18">
        <v>7.0985588303514563E-2</v>
      </c>
      <c r="H27" s="18">
        <v>0.10751580189249836</v>
      </c>
      <c r="I27" s="18">
        <v>0</v>
      </c>
      <c r="J27" s="18">
        <v>0.10687481329613853</v>
      </c>
      <c r="K27" s="18">
        <v>6.586947990553689E-2</v>
      </c>
      <c r="L27" s="18">
        <v>9.2757152787924554E-2</v>
      </c>
      <c r="M27" s="18">
        <v>0</v>
      </c>
      <c r="N27" s="18">
        <v>0.11531910053936571</v>
      </c>
      <c r="O27" s="18">
        <v>7.6777826469851207E-2</v>
      </c>
      <c r="P27" s="18">
        <v>0.11189759000408901</v>
      </c>
      <c r="R27" s="10">
        <f t="shared" si="0"/>
        <v>-0.10142637279887876</v>
      </c>
      <c r="S27" s="10">
        <f t="shared" si="1"/>
        <v>-6.6151295995814777E-2</v>
      </c>
      <c r="T27" s="10">
        <f t="shared" si="2"/>
        <v>-0.10268150958479857</v>
      </c>
      <c r="U27" s="10">
        <f t="shared" si="3"/>
        <v>3.5275076803063979E-2</v>
      </c>
      <c r="V27" s="10">
        <f t="shared" si="4"/>
        <v>-1.2551367859198193E-3</v>
      </c>
      <c r="W27" s="10">
        <f t="shared" si="5"/>
        <v>-3.6530213588983798E-2</v>
      </c>
      <c r="X27" s="10"/>
      <c r="Y27" s="10">
        <f t="shared" si="6"/>
        <v>-0.10687481329613853</v>
      </c>
      <c r="Z27" s="10">
        <f t="shared" si="7"/>
        <v>-6.586947990553689E-2</v>
      </c>
      <c r="AA27" s="10">
        <f t="shared" si="8"/>
        <v>-9.2757152787924554E-2</v>
      </c>
      <c r="AB27" s="10">
        <f t="shared" si="9"/>
        <v>4.1005333390601639E-2</v>
      </c>
      <c r="AC27" s="10">
        <f t="shared" si="10"/>
        <v>1.4117660508213975E-2</v>
      </c>
      <c r="AD27" s="10">
        <f t="shared" si="11"/>
        <v>-2.6887672882387664E-2</v>
      </c>
      <c r="AE27" s="10"/>
      <c r="AF27" s="10">
        <f t="shared" si="12"/>
        <v>-0.11531910053936571</v>
      </c>
      <c r="AG27" s="10">
        <f t="shared" si="13"/>
        <v>-7.6777826469851207E-2</v>
      </c>
      <c r="AH27" s="10">
        <f t="shared" si="14"/>
        <v>-0.11189759000408901</v>
      </c>
      <c r="AI27" s="10">
        <f t="shared" si="15"/>
        <v>3.8541274069514506E-2</v>
      </c>
      <c r="AJ27" s="10">
        <f t="shared" si="16"/>
        <v>3.4215105352767006E-3</v>
      </c>
      <c r="AK27" s="10">
        <f t="shared" si="17"/>
        <v>-3.5119763534237805E-2</v>
      </c>
    </row>
    <row r="28" spans="2:37" x14ac:dyDescent="0.25">
      <c r="B28" s="6">
        <v>20</v>
      </c>
      <c r="C28" s="6">
        <v>15</v>
      </c>
      <c r="D28" s="6">
        <v>30</v>
      </c>
      <c r="E28" s="16">
        <v>0</v>
      </c>
      <c r="F28" s="18">
        <v>0.18683952495706579</v>
      </c>
      <c r="G28" s="18">
        <v>0.13125617979321952</v>
      </c>
      <c r="H28" s="18">
        <v>0.1170483070251654</v>
      </c>
      <c r="I28" s="18">
        <v>0</v>
      </c>
      <c r="J28" s="18">
        <v>0.15319434615677696</v>
      </c>
      <c r="K28" s="18">
        <v>8.7066815683380816E-2</v>
      </c>
      <c r="L28" s="18">
        <v>0.13489069834971454</v>
      </c>
      <c r="M28" s="18">
        <v>0</v>
      </c>
      <c r="N28" s="18">
        <v>8.2477817831022371E-2</v>
      </c>
      <c r="O28" s="18">
        <v>9.343054447416807E-2</v>
      </c>
      <c r="P28" s="18">
        <v>0.12823819719777146</v>
      </c>
      <c r="R28" s="10">
        <f t="shared" si="0"/>
        <v>-0.18683952495706579</v>
      </c>
      <c r="S28" s="10">
        <f t="shared" si="1"/>
        <v>-0.13125617979321952</v>
      </c>
      <c r="T28" s="10">
        <f t="shared" si="2"/>
        <v>-0.1170483070251654</v>
      </c>
      <c r="U28" s="10">
        <f t="shared" si="3"/>
        <v>5.5583345163846276E-2</v>
      </c>
      <c r="V28" s="10">
        <f t="shared" si="4"/>
        <v>6.9791217931900393E-2</v>
      </c>
      <c r="W28" s="10">
        <f t="shared" si="5"/>
        <v>1.4207872768054117E-2</v>
      </c>
      <c r="X28" s="10"/>
      <c r="Y28" s="10">
        <f t="shared" si="6"/>
        <v>-0.15319434615677696</v>
      </c>
      <c r="Z28" s="10">
        <f t="shared" si="7"/>
        <v>-8.7066815683380816E-2</v>
      </c>
      <c r="AA28" s="10">
        <f t="shared" si="8"/>
        <v>-0.13489069834971454</v>
      </c>
      <c r="AB28" s="10">
        <f t="shared" si="9"/>
        <v>6.6127530473396146E-2</v>
      </c>
      <c r="AC28" s="10">
        <f t="shared" si="10"/>
        <v>1.8303647807062423E-2</v>
      </c>
      <c r="AD28" s="10">
        <f t="shared" si="11"/>
        <v>-4.7823882666333722E-2</v>
      </c>
      <c r="AE28" s="10"/>
      <c r="AF28" s="10">
        <f t="shared" si="12"/>
        <v>-8.2477817831022371E-2</v>
      </c>
      <c r="AG28" s="10">
        <f t="shared" si="13"/>
        <v>-9.343054447416807E-2</v>
      </c>
      <c r="AH28" s="10">
        <f t="shared" si="14"/>
        <v>-0.12823819719777146</v>
      </c>
      <c r="AI28" s="10">
        <f t="shared" si="15"/>
        <v>-1.0952726643145699E-2</v>
      </c>
      <c r="AJ28" s="10">
        <f t="shared" si="16"/>
        <v>-4.5760379366749093E-2</v>
      </c>
      <c r="AK28" s="10">
        <f t="shared" si="17"/>
        <v>-3.4807652723603394E-2</v>
      </c>
    </row>
    <row r="29" spans="2:37" x14ac:dyDescent="0.25">
      <c r="B29" s="6">
        <v>20</v>
      </c>
      <c r="C29" s="6">
        <v>15</v>
      </c>
      <c r="D29" s="6">
        <v>40</v>
      </c>
      <c r="E29" s="16">
        <v>0</v>
      </c>
      <c r="F29" s="18">
        <v>0.1737691819705782</v>
      </c>
      <c r="G29" s="18">
        <v>0.10984910297324027</v>
      </c>
      <c r="H29" s="18">
        <v>9.4446000009093867E-2</v>
      </c>
      <c r="I29" s="18">
        <v>0</v>
      </c>
      <c r="J29" s="18">
        <v>0.14122860996922146</v>
      </c>
      <c r="K29" s="18">
        <v>8.143503658531108E-2</v>
      </c>
      <c r="L29" s="18">
        <v>0.12098969132137287</v>
      </c>
      <c r="M29" s="18">
        <v>0</v>
      </c>
      <c r="N29" s="18">
        <v>0.12005727137585236</v>
      </c>
      <c r="O29" s="18">
        <v>5.5883530814004857E-2</v>
      </c>
      <c r="P29" s="18">
        <v>0.1075672432976393</v>
      </c>
      <c r="R29" s="10">
        <f t="shared" si="0"/>
        <v>-0.1737691819705782</v>
      </c>
      <c r="S29" s="10">
        <f t="shared" si="1"/>
        <v>-0.10984910297324027</v>
      </c>
      <c r="T29" s="10">
        <f t="shared" si="2"/>
        <v>-9.4446000009093867E-2</v>
      </c>
      <c r="U29" s="10">
        <f t="shared" si="3"/>
        <v>6.3920078997337926E-2</v>
      </c>
      <c r="V29" s="10">
        <f t="shared" si="4"/>
        <v>7.9323181961484329E-2</v>
      </c>
      <c r="W29" s="10">
        <f t="shared" si="5"/>
        <v>1.5403102964146403E-2</v>
      </c>
      <c r="X29" s="10"/>
      <c r="Y29" s="10">
        <f t="shared" si="6"/>
        <v>-0.14122860996922146</v>
      </c>
      <c r="Z29" s="10">
        <f t="shared" si="7"/>
        <v>-8.143503658531108E-2</v>
      </c>
      <c r="AA29" s="10">
        <f t="shared" si="8"/>
        <v>-0.12098969132137287</v>
      </c>
      <c r="AB29" s="10">
        <f t="shared" si="9"/>
        <v>5.9793573383910378E-2</v>
      </c>
      <c r="AC29" s="10">
        <f t="shared" si="10"/>
        <v>2.0238918647848589E-2</v>
      </c>
      <c r="AD29" s="10">
        <f t="shared" si="11"/>
        <v>-3.9554654736061789E-2</v>
      </c>
      <c r="AE29" s="10"/>
      <c r="AF29" s="10">
        <f t="shared" si="12"/>
        <v>-0.12005727137585236</v>
      </c>
      <c r="AG29" s="10">
        <f t="shared" si="13"/>
        <v>-5.5883530814004857E-2</v>
      </c>
      <c r="AH29" s="10">
        <f t="shared" si="14"/>
        <v>-0.1075672432976393</v>
      </c>
      <c r="AI29" s="10">
        <f t="shared" si="15"/>
        <v>6.4173740561847492E-2</v>
      </c>
      <c r="AJ29" s="10">
        <f t="shared" si="16"/>
        <v>1.2490028078213061E-2</v>
      </c>
      <c r="AK29" s="10">
        <f t="shared" si="17"/>
        <v>-5.1683712483634438E-2</v>
      </c>
    </row>
    <row r="30" spans="2:37" x14ac:dyDescent="0.25">
      <c r="B30" s="6">
        <v>20</v>
      </c>
      <c r="C30" s="6">
        <v>15</v>
      </c>
      <c r="D30" s="6">
        <v>50</v>
      </c>
      <c r="E30" s="16">
        <v>7.6078266971077082E-3</v>
      </c>
      <c r="F30" s="18">
        <v>0.12127009023217065</v>
      </c>
      <c r="G30" s="18">
        <v>8.5078509617492151E-2</v>
      </c>
      <c r="H30" s="18">
        <v>0.1306806972237928</v>
      </c>
      <c r="I30" s="18">
        <v>0</v>
      </c>
      <c r="J30" s="18">
        <v>9.2980250482610563E-2</v>
      </c>
      <c r="K30" s="18">
        <v>6.6671477208059465E-2</v>
      </c>
      <c r="L30" s="18">
        <v>8.945064613193926E-2</v>
      </c>
      <c r="M30" s="18">
        <v>0</v>
      </c>
      <c r="N30" s="18">
        <v>0.11611651254415487</v>
      </c>
      <c r="O30" s="18">
        <v>6.1022706143905557E-2</v>
      </c>
      <c r="P30" s="18">
        <v>8.5393078882153833E-2</v>
      </c>
      <c r="R30" s="10">
        <f t="shared" si="0"/>
        <v>-0.11366226353506295</v>
      </c>
      <c r="S30" s="10">
        <f t="shared" si="1"/>
        <v>-7.7470682920384448E-2</v>
      </c>
      <c r="T30" s="10">
        <f t="shared" si="2"/>
        <v>-0.1230728705266851</v>
      </c>
      <c r="U30" s="10">
        <f t="shared" si="3"/>
        <v>3.6191580614678504E-2</v>
      </c>
      <c r="V30" s="10">
        <f t="shared" si="4"/>
        <v>-9.4106069916221474E-3</v>
      </c>
      <c r="W30" s="10">
        <f t="shared" si="5"/>
        <v>-4.5602187606300651E-2</v>
      </c>
      <c r="X30" s="10"/>
      <c r="Y30" s="10">
        <f t="shared" si="6"/>
        <v>-9.2980250482610563E-2</v>
      </c>
      <c r="Z30" s="10">
        <f t="shared" si="7"/>
        <v>-6.6671477208059465E-2</v>
      </c>
      <c r="AA30" s="10">
        <f t="shared" si="8"/>
        <v>-8.945064613193926E-2</v>
      </c>
      <c r="AB30" s="10">
        <f t="shared" si="9"/>
        <v>2.6308773274551098E-2</v>
      </c>
      <c r="AC30" s="10">
        <f t="shared" si="10"/>
        <v>3.5296043506713032E-3</v>
      </c>
      <c r="AD30" s="10">
        <f t="shared" si="11"/>
        <v>-2.2779168923879795E-2</v>
      </c>
      <c r="AE30" s="10"/>
      <c r="AF30" s="10">
        <f t="shared" si="12"/>
        <v>-0.11611651254415487</v>
      </c>
      <c r="AG30" s="10">
        <f t="shared" si="13"/>
        <v>-6.1022706143905557E-2</v>
      </c>
      <c r="AH30" s="10">
        <f t="shared" si="14"/>
        <v>-8.5393078882153833E-2</v>
      </c>
      <c r="AI30" s="10">
        <f t="shared" si="15"/>
        <v>5.5093806400249308E-2</v>
      </c>
      <c r="AJ30" s="10">
        <f t="shared" si="16"/>
        <v>3.0723433662001032E-2</v>
      </c>
      <c r="AK30" s="10">
        <f t="shared" si="17"/>
        <v>-2.4370372738248276E-2</v>
      </c>
    </row>
    <row r="31" spans="2:37" x14ac:dyDescent="0.25">
      <c r="B31" s="29" t="s">
        <v>27</v>
      </c>
      <c r="C31" s="29"/>
      <c r="D31" s="29"/>
      <c r="E31" s="11">
        <f>AVERAGE(E4:E30)</f>
        <v>9.5323194367224356E-4</v>
      </c>
      <c r="F31" s="11">
        <f t="shared" ref="F31:P31" si="18">AVERAGE(F4:F30)</f>
        <v>0.13743751838310259</v>
      </c>
      <c r="G31" s="11">
        <f t="shared" si="18"/>
        <v>6.4145962420253222E-2</v>
      </c>
      <c r="H31" s="11">
        <f t="shared" si="18"/>
        <v>0.11689584406782615</v>
      </c>
      <c r="I31" s="11">
        <f t="shared" si="18"/>
        <v>1.1824019168032761E-3</v>
      </c>
      <c r="J31" s="11">
        <f t="shared" si="18"/>
        <v>0.12018897740888203</v>
      </c>
      <c r="K31" s="11">
        <f t="shared" si="18"/>
        <v>6.6885888419521922E-2</v>
      </c>
      <c r="L31" s="11">
        <f t="shared" si="18"/>
        <v>0.12239368869493515</v>
      </c>
      <c r="M31" s="11">
        <f t="shared" si="18"/>
        <v>8.4361033130961349E-4</v>
      </c>
      <c r="N31" s="11">
        <f t="shared" si="18"/>
        <v>0.11512611891305927</v>
      </c>
      <c r="O31" s="11">
        <f t="shared" si="18"/>
        <v>6.0794205059533021E-2</v>
      </c>
      <c r="P31" s="11">
        <f t="shared" si="18"/>
        <v>0.11530096496578705</v>
      </c>
    </row>
    <row r="33" spans="18:23" x14ac:dyDescent="0.25">
      <c r="R33" s="12"/>
      <c r="S33" s="12"/>
      <c r="T33" s="12"/>
      <c r="U33" s="12"/>
      <c r="V33" s="12"/>
      <c r="W33" s="12"/>
    </row>
  </sheetData>
  <mergeCells count="7">
    <mergeCell ref="B31:D31"/>
    <mergeCell ref="R2:W2"/>
    <mergeCell ref="Y2:AD2"/>
    <mergeCell ref="AF2:AK2"/>
    <mergeCell ref="E2:H2"/>
    <mergeCell ref="I2:L2"/>
    <mergeCell ref="M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50C0-8265-4590-9EC6-26B70F35548A}">
  <dimension ref="B2:AK33"/>
  <sheetViews>
    <sheetView topLeftCell="N1" workbookViewId="0">
      <selection activeCell="AF4" sqref="AF4:AK30"/>
    </sheetView>
  </sheetViews>
  <sheetFormatPr defaultRowHeight="15.75" x14ac:dyDescent="0.25"/>
  <cols>
    <col min="1" max="1" width="8.85546875" style="1" customWidth="1"/>
    <col min="2" max="2" width="4.5703125" style="1" bestFit="1" customWidth="1"/>
    <col min="3" max="4" width="3.42578125" style="1" bestFit="1" customWidth="1"/>
    <col min="5" max="5" width="9.7109375" style="1" bestFit="1" customWidth="1"/>
    <col min="6" max="7" width="9.5703125" style="1" bestFit="1" customWidth="1"/>
    <col min="8" max="8" width="8.5703125" style="1" bestFit="1" customWidth="1"/>
    <col min="9" max="9" width="9.7109375" style="1" bestFit="1" customWidth="1"/>
    <col min="10" max="11" width="9.5703125" style="1" bestFit="1" customWidth="1"/>
    <col min="12" max="12" width="8.5703125" style="1" bestFit="1" customWidth="1"/>
    <col min="13" max="13" width="9.7109375" style="1" bestFit="1" customWidth="1"/>
    <col min="14" max="15" width="9.5703125" style="1" bestFit="1" customWidth="1"/>
    <col min="16" max="16" width="8.5703125" style="1" bestFit="1" customWidth="1"/>
    <col min="17" max="17" width="9.140625" style="1"/>
    <col min="18" max="18" width="9.28515625" style="1" bestFit="1" customWidth="1"/>
    <col min="19" max="19" width="8.5703125" style="1" bestFit="1" customWidth="1"/>
    <col min="20" max="21" width="9.28515625" style="1" bestFit="1" customWidth="1"/>
    <col min="22" max="23" width="8.42578125" style="1" bestFit="1" customWidth="1"/>
    <col min="24" max="24" width="9.140625" style="1"/>
    <col min="25" max="25" width="9.28515625" style="1" bestFit="1" customWidth="1"/>
    <col min="26" max="26" width="8.5703125" style="1" bestFit="1" customWidth="1"/>
    <col min="27" max="28" width="9.28515625" style="1" bestFit="1" customWidth="1"/>
    <col min="29" max="30" width="8.42578125" style="1" bestFit="1" customWidth="1"/>
    <col min="31" max="31" width="9.140625" style="1"/>
    <col min="32" max="32" width="9.28515625" style="1" bestFit="1" customWidth="1"/>
    <col min="33" max="33" width="8.5703125" style="1" bestFit="1" customWidth="1"/>
    <col min="34" max="35" width="9.28515625" style="1" bestFit="1" customWidth="1"/>
    <col min="36" max="37" width="8.42578125" style="1" bestFit="1" customWidth="1"/>
    <col min="38" max="16384" width="9.140625" style="1"/>
  </cols>
  <sheetData>
    <row r="2" spans="2:37" x14ac:dyDescent="0.25">
      <c r="B2" s="13"/>
      <c r="C2" s="13"/>
      <c r="D2" s="13"/>
      <c r="E2" s="27" t="s">
        <v>17</v>
      </c>
      <c r="F2" s="27"/>
      <c r="G2" s="27"/>
      <c r="H2" s="27"/>
      <c r="I2" s="27" t="s">
        <v>18</v>
      </c>
      <c r="J2" s="27"/>
      <c r="K2" s="27"/>
      <c r="L2" s="27"/>
      <c r="M2" s="27" t="s">
        <v>19</v>
      </c>
      <c r="N2" s="27"/>
      <c r="O2" s="27"/>
      <c r="P2" s="27"/>
      <c r="R2" s="26" t="s">
        <v>17</v>
      </c>
      <c r="S2" s="26"/>
      <c r="T2" s="26"/>
      <c r="U2" s="26"/>
      <c r="V2" s="26"/>
      <c r="W2" s="26"/>
      <c r="X2" s="14"/>
      <c r="Y2" s="26" t="s">
        <v>18</v>
      </c>
      <c r="Z2" s="26"/>
      <c r="AA2" s="26"/>
      <c r="AB2" s="26"/>
      <c r="AC2" s="26"/>
      <c r="AD2" s="26"/>
      <c r="AE2" s="14"/>
      <c r="AF2" s="26" t="s">
        <v>18</v>
      </c>
      <c r="AG2" s="26"/>
      <c r="AH2" s="26"/>
      <c r="AI2" s="26"/>
      <c r="AJ2" s="26"/>
      <c r="AK2" s="26"/>
    </row>
    <row r="3" spans="2:37" x14ac:dyDescent="0.25">
      <c r="B3" s="15" t="s">
        <v>20</v>
      </c>
      <c r="C3" s="15" t="s">
        <v>21</v>
      </c>
      <c r="D3" s="15" t="s">
        <v>22</v>
      </c>
      <c r="E3" s="15" t="s">
        <v>23</v>
      </c>
      <c r="F3" s="15" t="s">
        <v>24</v>
      </c>
      <c r="G3" s="15" t="s">
        <v>25</v>
      </c>
      <c r="H3" s="15" t="s">
        <v>26</v>
      </c>
      <c r="I3" s="15" t="s">
        <v>23</v>
      </c>
      <c r="J3" s="15" t="s">
        <v>24</v>
      </c>
      <c r="K3" s="15" t="s">
        <v>25</v>
      </c>
      <c r="L3" s="15" t="s">
        <v>26</v>
      </c>
      <c r="M3" s="15" t="s">
        <v>23</v>
      </c>
      <c r="N3" s="15" t="s">
        <v>24</v>
      </c>
      <c r="O3" s="15" t="s">
        <v>25</v>
      </c>
      <c r="P3" s="15" t="s">
        <v>26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/>
      <c r="Y3" s="2" t="s">
        <v>5</v>
      </c>
      <c r="Z3" s="2" t="s">
        <v>6</v>
      </c>
      <c r="AA3" s="2" t="s">
        <v>7</v>
      </c>
      <c r="AB3" s="2" t="s">
        <v>8</v>
      </c>
      <c r="AC3" s="2" t="s">
        <v>9</v>
      </c>
      <c r="AD3" s="2" t="s">
        <v>10</v>
      </c>
      <c r="AE3" s="2"/>
      <c r="AF3" s="2" t="s">
        <v>5</v>
      </c>
      <c r="AG3" s="2" t="s">
        <v>6</v>
      </c>
      <c r="AH3" s="2" t="s">
        <v>7</v>
      </c>
      <c r="AI3" s="2" t="s">
        <v>8</v>
      </c>
      <c r="AJ3" s="2" t="s">
        <v>9</v>
      </c>
      <c r="AK3" s="2" t="s">
        <v>10</v>
      </c>
    </row>
    <row r="4" spans="2:37" x14ac:dyDescent="0.25">
      <c r="B4" s="1">
        <v>12</v>
      </c>
      <c r="C4" s="1">
        <v>5</v>
      </c>
      <c r="D4" s="1">
        <v>30</v>
      </c>
      <c r="E4" s="18">
        <v>1.7623337214454954E-3</v>
      </c>
      <c r="F4" s="18">
        <v>0.16503510472545554</v>
      </c>
      <c r="G4" s="18">
        <v>4.5852675944402954E-2</v>
      </c>
      <c r="H4" s="18">
        <v>0.17749181922026022</v>
      </c>
      <c r="I4" s="18">
        <v>9.5127565196670709E-4</v>
      </c>
      <c r="J4" s="18">
        <v>0.17110195788646665</v>
      </c>
      <c r="K4" s="18">
        <v>9.6701152700614509E-2</v>
      </c>
      <c r="L4" s="18">
        <v>0.16672748919609492</v>
      </c>
      <c r="M4" s="18">
        <v>0</v>
      </c>
      <c r="N4" s="18">
        <v>0.15867774518331332</v>
      </c>
      <c r="O4" s="18">
        <v>7.7765427656479882E-2</v>
      </c>
      <c r="P4" s="18">
        <v>0.14636609239030929</v>
      </c>
      <c r="R4" s="16">
        <f t="shared" ref="R4:R30" si="0">(E4-F4)*-1</f>
        <v>0.16327277100401005</v>
      </c>
      <c r="S4" s="16">
        <f t="shared" ref="S4:S30" si="1">(E4-G4)*-1</f>
        <v>4.4090342222957456E-2</v>
      </c>
      <c r="T4" s="16">
        <f t="shared" ref="T4:T30" si="2">(E4-H4)*-1</f>
        <v>0.17572948549881473</v>
      </c>
      <c r="U4" s="16">
        <f t="shared" ref="U4:U30" si="3">(F4-G4)*-1</f>
        <v>-0.11918242878105259</v>
      </c>
      <c r="V4" s="16">
        <f t="shared" ref="V4:V30" si="4">(F4-H4)*-1</f>
        <v>1.2456714494804677E-2</v>
      </c>
      <c r="W4" s="16">
        <f t="shared" ref="W4:W30" si="5">(G4-H4)*-1</f>
        <v>0.13163914327585727</v>
      </c>
      <c r="X4" s="16"/>
      <c r="Y4" s="16">
        <f t="shared" ref="Y4:Y30" si="6">(I4-J4)*-1</f>
        <v>0.17015068223449994</v>
      </c>
      <c r="Z4" s="16">
        <f t="shared" ref="Z4:Z30" si="7">(I4-K4)*-1</f>
        <v>9.5749877048647805E-2</v>
      </c>
      <c r="AA4" s="16">
        <f t="shared" ref="AA4:AA30" si="8">(I4-L4)*-1</f>
        <v>0.16577621354412822</v>
      </c>
      <c r="AB4" s="16">
        <f t="shared" ref="AB4:AB30" si="9">(J4-K4)*-1</f>
        <v>-7.440080518585214E-2</v>
      </c>
      <c r="AC4" s="16">
        <f t="shared" ref="AC4:AC30" si="10">(J4-L4)*-1</f>
        <v>-4.3744686903717245E-3</v>
      </c>
      <c r="AD4" s="16">
        <f t="shared" ref="AD4:AD30" si="11">(K4-L4)*-1</f>
        <v>7.0026336495480415E-2</v>
      </c>
      <c r="AE4" s="16"/>
      <c r="AF4" s="16">
        <f t="shared" ref="AF4:AF30" si="12">(M4-N4)*-1</f>
        <v>0.15867774518331332</v>
      </c>
      <c r="AG4" s="16">
        <f t="shared" ref="AG4:AG30" si="13">(M4-O4)*-1</f>
        <v>7.7765427656479882E-2</v>
      </c>
      <c r="AH4" s="16">
        <f t="shared" ref="AH4:AH30" si="14">(M4-P4)*-1</f>
        <v>0.14636609239030929</v>
      </c>
      <c r="AI4" s="16">
        <f t="shared" ref="AI4:AI30" si="15">(N4-O4)*-1</f>
        <v>-8.0912317526833435E-2</v>
      </c>
      <c r="AJ4" s="16">
        <f t="shared" ref="AJ4:AJ30" si="16">(N4-P4)*-1</f>
        <v>-1.231165279300403E-2</v>
      </c>
      <c r="AK4" s="16">
        <f t="shared" ref="AK4:AK30" si="17">(O4-P4)*-1</f>
        <v>6.8600664733829406E-2</v>
      </c>
    </row>
    <row r="5" spans="2:37" x14ac:dyDescent="0.25">
      <c r="B5" s="1">
        <v>12</v>
      </c>
      <c r="C5" s="1">
        <v>5</v>
      </c>
      <c r="D5" s="1">
        <v>40</v>
      </c>
      <c r="E5" s="18">
        <v>1.0441175991993635E-2</v>
      </c>
      <c r="F5" s="18">
        <v>0.22711021493327785</v>
      </c>
      <c r="G5" s="18">
        <v>8.5867400532360014E-2</v>
      </c>
      <c r="H5" s="18">
        <v>0.12040986349553942</v>
      </c>
      <c r="I5" s="18">
        <v>5.1393709283759853E-3</v>
      </c>
      <c r="J5" s="18">
        <v>0.18590973352350243</v>
      </c>
      <c r="K5" s="18">
        <v>7.3442076501371481E-2</v>
      </c>
      <c r="L5" s="18">
        <v>0.16275705200633553</v>
      </c>
      <c r="M5" s="18">
        <v>3.4243170332052208E-3</v>
      </c>
      <c r="N5" s="18">
        <v>0.17581013521543809</v>
      </c>
      <c r="O5" s="18">
        <v>5.4829581872121155E-2</v>
      </c>
      <c r="P5" s="18">
        <v>0.14206051957932736</v>
      </c>
      <c r="R5" s="16">
        <f t="shared" si="0"/>
        <v>0.21666903894128423</v>
      </c>
      <c r="S5" s="16">
        <f t="shared" si="1"/>
        <v>7.5426224540366377E-2</v>
      </c>
      <c r="T5" s="16">
        <f t="shared" si="2"/>
        <v>0.10996868750354578</v>
      </c>
      <c r="U5" s="16">
        <f t="shared" si="3"/>
        <v>-0.14124281440091785</v>
      </c>
      <c r="V5" s="16">
        <f t="shared" si="4"/>
        <v>-0.10670035143773843</v>
      </c>
      <c r="W5" s="16">
        <f t="shared" si="5"/>
        <v>3.4542462963179407E-2</v>
      </c>
      <c r="X5" s="16"/>
      <c r="Y5" s="16">
        <f t="shared" si="6"/>
        <v>0.18077036259512644</v>
      </c>
      <c r="Z5" s="16">
        <f t="shared" si="7"/>
        <v>6.830270557299549E-2</v>
      </c>
      <c r="AA5" s="16">
        <f t="shared" si="8"/>
        <v>0.15761768107795954</v>
      </c>
      <c r="AB5" s="16">
        <f t="shared" si="9"/>
        <v>-0.11246765702213095</v>
      </c>
      <c r="AC5" s="16">
        <f t="shared" si="10"/>
        <v>-2.3152681517166901E-2</v>
      </c>
      <c r="AD5" s="16">
        <f t="shared" si="11"/>
        <v>8.9314975504964048E-2</v>
      </c>
      <c r="AE5" s="16"/>
      <c r="AF5" s="16">
        <f t="shared" si="12"/>
        <v>0.17238581818223286</v>
      </c>
      <c r="AG5" s="16">
        <f t="shared" si="13"/>
        <v>5.1405264838915936E-2</v>
      </c>
      <c r="AH5" s="16">
        <f t="shared" si="14"/>
        <v>0.13863620254612213</v>
      </c>
      <c r="AI5" s="16">
        <f t="shared" si="15"/>
        <v>-0.12098055334331693</v>
      </c>
      <c r="AJ5" s="16">
        <f t="shared" si="16"/>
        <v>-3.374961563611073E-2</v>
      </c>
      <c r="AK5" s="16">
        <f t="shared" si="17"/>
        <v>8.7230937707206205E-2</v>
      </c>
    </row>
    <row r="6" spans="2:37" x14ac:dyDescent="0.25">
      <c r="B6" s="1">
        <v>12</v>
      </c>
      <c r="C6" s="1">
        <v>5</v>
      </c>
      <c r="D6" s="1">
        <v>50</v>
      </c>
      <c r="E6" s="18">
        <v>5.857724675328772E-3</v>
      </c>
      <c r="F6" s="18">
        <v>0.17395427490149928</v>
      </c>
      <c r="G6" s="18">
        <v>5.568238373348363E-2</v>
      </c>
      <c r="H6" s="18">
        <v>0.16645508713182466</v>
      </c>
      <c r="I6" s="18">
        <v>2.0297847514169878E-2</v>
      </c>
      <c r="J6" s="18">
        <v>0.16007592778650226</v>
      </c>
      <c r="K6" s="18">
        <v>6.4294768976568245E-2</v>
      </c>
      <c r="L6" s="18">
        <v>0.26722048814431942</v>
      </c>
      <c r="M6" s="18">
        <v>8.1543088360697714E-3</v>
      </c>
      <c r="N6" s="18">
        <v>0.15860897144797598</v>
      </c>
      <c r="O6" s="18">
        <v>6.1301850904392628E-2</v>
      </c>
      <c r="P6" s="18">
        <v>0.10989439046535529</v>
      </c>
      <c r="R6" s="16">
        <f t="shared" si="0"/>
        <v>0.16809655022617051</v>
      </c>
      <c r="S6" s="16">
        <f t="shared" si="1"/>
        <v>4.9824659058154856E-2</v>
      </c>
      <c r="T6" s="16">
        <f t="shared" si="2"/>
        <v>0.16059736245649589</v>
      </c>
      <c r="U6" s="16">
        <f t="shared" si="3"/>
        <v>-0.11827189116801565</v>
      </c>
      <c r="V6" s="16">
        <f t="shared" si="4"/>
        <v>-7.4991877696746201E-3</v>
      </c>
      <c r="W6" s="16">
        <f t="shared" si="5"/>
        <v>0.11077270339834103</v>
      </c>
      <c r="X6" s="16"/>
      <c r="Y6" s="16">
        <f t="shared" si="6"/>
        <v>0.13977808027233238</v>
      </c>
      <c r="Z6" s="16">
        <f t="shared" si="7"/>
        <v>4.3996921462398364E-2</v>
      </c>
      <c r="AA6" s="16">
        <f t="shared" si="8"/>
        <v>0.24692264063014954</v>
      </c>
      <c r="AB6" s="16">
        <f t="shared" si="9"/>
        <v>-9.5781158809934014E-2</v>
      </c>
      <c r="AC6" s="16">
        <f t="shared" si="10"/>
        <v>0.10714456035781716</v>
      </c>
      <c r="AD6" s="16">
        <f t="shared" si="11"/>
        <v>0.20292571916775118</v>
      </c>
      <c r="AE6" s="16"/>
      <c r="AF6" s="16">
        <f t="shared" si="12"/>
        <v>0.15045466261190621</v>
      </c>
      <c r="AG6" s="16">
        <f t="shared" si="13"/>
        <v>5.3147542068322853E-2</v>
      </c>
      <c r="AH6" s="16">
        <f t="shared" si="14"/>
        <v>0.10174008162928552</v>
      </c>
      <c r="AI6" s="16">
        <f t="shared" si="15"/>
        <v>-9.7307120543583342E-2</v>
      </c>
      <c r="AJ6" s="16">
        <f t="shared" si="16"/>
        <v>-4.8714580982620687E-2</v>
      </c>
      <c r="AK6" s="16">
        <f t="shared" si="17"/>
        <v>4.8592539560962662E-2</v>
      </c>
    </row>
    <row r="7" spans="2:37" x14ac:dyDescent="0.25">
      <c r="B7" s="1">
        <v>12</v>
      </c>
      <c r="C7" s="1">
        <v>10</v>
      </c>
      <c r="D7" s="1">
        <v>30</v>
      </c>
      <c r="E7" s="18">
        <v>0</v>
      </c>
      <c r="F7" s="18">
        <v>0.17164458016119002</v>
      </c>
      <c r="G7" s="18">
        <v>6.4518944025136804E-2</v>
      </c>
      <c r="H7" s="18">
        <v>0.17632371191545312</v>
      </c>
      <c r="I7" s="18">
        <v>1.2493110674282446E-2</v>
      </c>
      <c r="J7" s="18">
        <v>0.20963177737641653</v>
      </c>
      <c r="K7" s="18">
        <v>0.13715915697046005</v>
      </c>
      <c r="L7" s="18">
        <v>0.15824164340021202</v>
      </c>
      <c r="M7" s="18">
        <v>6.9695314663043625E-3</v>
      </c>
      <c r="N7" s="18">
        <v>0.13741581141167555</v>
      </c>
      <c r="O7" s="18">
        <v>8.274102772673432E-2</v>
      </c>
      <c r="P7" s="18">
        <v>0.18638620507755224</v>
      </c>
      <c r="R7" s="16">
        <f t="shared" si="0"/>
        <v>0.17164458016119002</v>
      </c>
      <c r="S7" s="16">
        <f t="shared" si="1"/>
        <v>6.4518944025136804E-2</v>
      </c>
      <c r="T7" s="16">
        <f t="shared" si="2"/>
        <v>0.17632371191545312</v>
      </c>
      <c r="U7" s="16">
        <f t="shared" si="3"/>
        <v>-0.10712563613605322</v>
      </c>
      <c r="V7" s="16">
        <f t="shared" si="4"/>
        <v>4.6791317542630995E-3</v>
      </c>
      <c r="W7" s="16">
        <f t="shared" si="5"/>
        <v>0.11180476789031632</v>
      </c>
      <c r="X7" s="16"/>
      <c r="Y7" s="16">
        <f t="shared" si="6"/>
        <v>0.19713866670213409</v>
      </c>
      <c r="Z7" s="16">
        <f t="shared" si="7"/>
        <v>0.1246660462961776</v>
      </c>
      <c r="AA7" s="16">
        <f t="shared" si="8"/>
        <v>0.14574853272592958</v>
      </c>
      <c r="AB7" s="16">
        <f t="shared" si="9"/>
        <v>-7.2472620405956478E-2</v>
      </c>
      <c r="AC7" s="16">
        <f t="shared" si="10"/>
        <v>-5.1390133976204511E-2</v>
      </c>
      <c r="AD7" s="16">
        <f t="shared" si="11"/>
        <v>2.1082486429751968E-2</v>
      </c>
      <c r="AE7" s="16"/>
      <c r="AF7" s="16">
        <f t="shared" si="12"/>
        <v>0.1304462799453712</v>
      </c>
      <c r="AG7" s="16">
        <f t="shared" si="13"/>
        <v>7.5771496260429963E-2</v>
      </c>
      <c r="AH7" s="16">
        <f t="shared" si="14"/>
        <v>0.17941667361124788</v>
      </c>
      <c r="AI7" s="16">
        <f t="shared" si="15"/>
        <v>-5.4674783684941233E-2</v>
      </c>
      <c r="AJ7" s="16">
        <f t="shared" si="16"/>
        <v>4.8970393665876688E-2</v>
      </c>
      <c r="AK7" s="16">
        <f t="shared" si="17"/>
        <v>0.10364517735081792</v>
      </c>
    </row>
    <row r="8" spans="2:37" x14ac:dyDescent="0.25">
      <c r="B8" s="1">
        <v>12</v>
      </c>
      <c r="C8" s="1">
        <v>10</v>
      </c>
      <c r="D8" s="1">
        <v>40</v>
      </c>
      <c r="E8" s="18">
        <v>8.9292417313079769E-4</v>
      </c>
      <c r="F8" s="18">
        <v>0.15780333534780847</v>
      </c>
      <c r="G8" s="18">
        <v>5.6318846355022836E-2</v>
      </c>
      <c r="H8" s="18">
        <v>0.14956070726558274</v>
      </c>
      <c r="I8" s="18">
        <v>1.52870808968311E-3</v>
      </c>
      <c r="J8" s="18">
        <v>0.14876791259329672</v>
      </c>
      <c r="K8" s="18">
        <v>7.6937393942415597E-2</v>
      </c>
      <c r="L8" s="18">
        <v>0.17637052935814285</v>
      </c>
      <c r="M8" s="18">
        <v>3.5747968773107278E-3</v>
      </c>
      <c r="N8" s="18">
        <v>0.2069119787798484</v>
      </c>
      <c r="O8" s="18">
        <v>0.1310464245789163</v>
      </c>
      <c r="P8" s="18">
        <v>0.17973745924806694</v>
      </c>
      <c r="R8" s="16">
        <f t="shared" si="0"/>
        <v>0.15691041117467766</v>
      </c>
      <c r="S8" s="16">
        <f t="shared" si="1"/>
        <v>5.5425922181892039E-2</v>
      </c>
      <c r="T8" s="16">
        <f t="shared" si="2"/>
        <v>0.14866778309245193</v>
      </c>
      <c r="U8" s="16">
        <f t="shared" si="3"/>
        <v>-0.10148448899278563</v>
      </c>
      <c r="V8" s="16">
        <f t="shared" si="4"/>
        <v>-8.2426280822257281E-3</v>
      </c>
      <c r="W8" s="16">
        <f t="shared" si="5"/>
        <v>9.3241860910559901E-2</v>
      </c>
      <c r="X8" s="16"/>
      <c r="Y8" s="16">
        <f t="shared" si="6"/>
        <v>0.14723920450361361</v>
      </c>
      <c r="Z8" s="16">
        <f t="shared" si="7"/>
        <v>7.5408685852732485E-2</v>
      </c>
      <c r="AA8" s="16">
        <f t="shared" si="8"/>
        <v>0.17484182126845974</v>
      </c>
      <c r="AB8" s="16">
        <f t="shared" si="9"/>
        <v>-7.1830518650881123E-2</v>
      </c>
      <c r="AC8" s="16">
        <f t="shared" si="10"/>
        <v>2.7602616764846127E-2</v>
      </c>
      <c r="AD8" s="16">
        <f t="shared" si="11"/>
        <v>9.943313541572725E-2</v>
      </c>
      <c r="AE8" s="16"/>
      <c r="AF8" s="16">
        <f t="shared" si="12"/>
        <v>0.20333718190253769</v>
      </c>
      <c r="AG8" s="16">
        <f t="shared" si="13"/>
        <v>0.12747162770160558</v>
      </c>
      <c r="AH8" s="16">
        <f t="shared" si="14"/>
        <v>0.17616266237075623</v>
      </c>
      <c r="AI8" s="16">
        <f t="shared" si="15"/>
        <v>-7.5865554200932106E-2</v>
      </c>
      <c r="AJ8" s="16">
        <f t="shared" si="16"/>
        <v>-2.717451953178146E-2</v>
      </c>
      <c r="AK8" s="16">
        <f t="shared" si="17"/>
        <v>4.8691034669150646E-2</v>
      </c>
    </row>
    <row r="9" spans="2:37" x14ac:dyDescent="0.25">
      <c r="B9" s="1">
        <v>12</v>
      </c>
      <c r="C9" s="1">
        <v>10</v>
      </c>
      <c r="D9" s="1">
        <v>50</v>
      </c>
      <c r="E9" s="18">
        <v>5.9264960253239518E-4</v>
      </c>
      <c r="F9" s="18">
        <v>0.17318474105492837</v>
      </c>
      <c r="G9" s="18">
        <v>5.1316533240472341E-2</v>
      </c>
      <c r="H9" s="18">
        <v>0.18690027174457421</v>
      </c>
      <c r="I9" s="18">
        <v>2.7405105125638617E-2</v>
      </c>
      <c r="J9" s="18">
        <v>0.1979576778475011</v>
      </c>
      <c r="K9" s="18">
        <v>6.7727278491023973E-2</v>
      </c>
      <c r="L9" s="18">
        <v>0.20024084912344939</v>
      </c>
      <c r="M9" s="18">
        <v>3.1307042542302308E-3</v>
      </c>
      <c r="N9" s="18">
        <v>0.1739824146563656</v>
      </c>
      <c r="O9" s="18">
        <v>3.3554054728359914E-2</v>
      </c>
      <c r="P9" s="18">
        <v>0.14783049133928067</v>
      </c>
      <c r="R9" s="16">
        <f t="shared" si="0"/>
        <v>0.17259209145239598</v>
      </c>
      <c r="S9" s="16">
        <f t="shared" si="1"/>
        <v>5.0723883637939948E-2</v>
      </c>
      <c r="T9" s="16">
        <f t="shared" si="2"/>
        <v>0.18630762214204183</v>
      </c>
      <c r="U9" s="16">
        <f t="shared" si="3"/>
        <v>-0.12186820781445604</v>
      </c>
      <c r="V9" s="16">
        <f t="shared" si="4"/>
        <v>1.3715530689645844E-2</v>
      </c>
      <c r="W9" s="16">
        <f t="shared" si="5"/>
        <v>0.13558373850410188</v>
      </c>
      <c r="X9" s="16"/>
      <c r="Y9" s="16">
        <f t="shared" si="6"/>
        <v>0.17055257272186247</v>
      </c>
      <c r="Z9" s="16">
        <f t="shared" si="7"/>
        <v>4.0322173365385357E-2</v>
      </c>
      <c r="AA9" s="16">
        <f t="shared" si="8"/>
        <v>0.17283574399781076</v>
      </c>
      <c r="AB9" s="16">
        <f t="shared" si="9"/>
        <v>-0.13023039935647712</v>
      </c>
      <c r="AC9" s="16">
        <f t="shared" si="10"/>
        <v>2.2831712759482925E-3</v>
      </c>
      <c r="AD9" s="16">
        <f t="shared" si="11"/>
        <v>0.13251357063242541</v>
      </c>
      <c r="AE9" s="16"/>
      <c r="AF9" s="16">
        <f t="shared" si="12"/>
        <v>0.17085171040213537</v>
      </c>
      <c r="AG9" s="16">
        <f t="shared" si="13"/>
        <v>3.0423350474129682E-2</v>
      </c>
      <c r="AH9" s="16">
        <f t="shared" si="14"/>
        <v>0.14469978708505044</v>
      </c>
      <c r="AI9" s="16">
        <f t="shared" si="15"/>
        <v>-0.14042835992800567</v>
      </c>
      <c r="AJ9" s="16">
        <f t="shared" si="16"/>
        <v>-2.6151923317084935E-2</v>
      </c>
      <c r="AK9" s="16">
        <f t="shared" si="17"/>
        <v>0.11427643661092075</v>
      </c>
    </row>
    <row r="10" spans="2:37" x14ac:dyDescent="0.25">
      <c r="B10" s="1">
        <v>12</v>
      </c>
      <c r="C10" s="1">
        <v>15</v>
      </c>
      <c r="D10" s="1">
        <v>30</v>
      </c>
      <c r="E10" s="18">
        <v>0</v>
      </c>
      <c r="F10" s="18">
        <v>0.1551690789041861</v>
      </c>
      <c r="G10" s="18">
        <v>8.7260936332122258E-2</v>
      </c>
      <c r="H10" s="18">
        <v>0.24184969420222399</v>
      </c>
      <c r="I10" s="18">
        <v>0</v>
      </c>
      <c r="J10" s="18">
        <v>0.13118459117641157</v>
      </c>
      <c r="K10" s="18">
        <v>0.13429419053118746</v>
      </c>
      <c r="L10" s="18">
        <v>0.17932014491219761</v>
      </c>
      <c r="M10" s="18">
        <v>1.4815518610647629E-3</v>
      </c>
      <c r="N10" s="18">
        <v>0.14541108463937852</v>
      </c>
      <c r="O10" s="18">
        <v>0.14869911264802055</v>
      </c>
      <c r="P10" s="18">
        <v>0.17621965973424356</v>
      </c>
      <c r="R10" s="16">
        <f t="shared" si="0"/>
        <v>0.1551690789041861</v>
      </c>
      <c r="S10" s="16">
        <f t="shared" si="1"/>
        <v>8.7260936332122258E-2</v>
      </c>
      <c r="T10" s="16">
        <f t="shared" si="2"/>
        <v>0.24184969420222399</v>
      </c>
      <c r="U10" s="16">
        <f t="shared" si="3"/>
        <v>-6.7908142572063845E-2</v>
      </c>
      <c r="V10" s="16">
        <f t="shared" si="4"/>
        <v>8.6680615298037889E-2</v>
      </c>
      <c r="W10" s="16">
        <f t="shared" si="5"/>
        <v>0.15458875787010173</v>
      </c>
      <c r="X10" s="16"/>
      <c r="Y10" s="16">
        <f t="shared" si="6"/>
        <v>0.13118459117641157</v>
      </c>
      <c r="Z10" s="16">
        <f t="shared" si="7"/>
        <v>0.13429419053118746</v>
      </c>
      <c r="AA10" s="16">
        <f t="shared" si="8"/>
        <v>0.17932014491219761</v>
      </c>
      <c r="AB10" s="16">
        <f t="shared" si="9"/>
        <v>3.1095993547758938E-3</v>
      </c>
      <c r="AC10" s="16">
        <f t="shared" si="10"/>
        <v>4.8135553735786041E-2</v>
      </c>
      <c r="AD10" s="16">
        <f t="shared" si="11"/>
        <v>4.5025954381010147E-2</v>
      </c>
      <c r="AE10" s="16"/>
      <c r="AF10" s="16">
        <f t="shared" si="12"/>
        <v>0.14392953277831375</v>
      </c>
      <c r="AG10" s="16">
        <f t="shared" si="13"/>
        <v>0.14721756078695578</v>
      </c>
      <c r="AH10" s="16">
        <f t="shared" si="14"/>
        <v>0.17473810787317878</v>
      </c>
      <c r="AI10" s="16">
        <f t="shared" si="15"/>
        <v>3.2880280086420299E-3</v>
      </c>
      <c r="AJ10" s="16">
        <f t="shared" si="16"/>
        <v>3.0808575094865037E-2</v>
      </c>
      <c r="AK10" s="16">
        <f t="shared" si="17"/>
        <v>2.7520547086223007E-2</v>
      </c>
    </row>
    <row r="11" spans="2:37" x14ac:dyDescent="0.25">
      <c r="B11" s="1">
        <v>12</v>
      </c>
      <c r="C11" s="1">
        <v>15</v>
      </c>
      <c r="D11" s="1">
        <v>40</v>
      </c>
      <c r="E11" s="18">
        <v>1.0878377815685984E-3</v>
      </c>
      <c r="F11" s="18">
        <v>0.2220515389841049</v>
      </c>
      <c r="G11" s="18">
        <v>0.11266815998938653</v>
      </c>
      <c r="H11" s="18">
        <v>0.17408369268200513</v>
      </c>
      <c r="I11" s="18">
        <v>0</v>
      </c>
      <c r="J11" s="18">
        <v>0.15491950240026273</v>
      </c>
      <c r="K11" s="18">
        <v>0.18728593758986742</v>
      </c>
      <c r="L11" s="18">
        <v>0.17855956611414642</v>
      </c>
      <c r="M11" s="18">
        <v>0</v>
      </c>
      <c r="N11" s="18">
        <v>0.17188173755069933</v>
      </c>
      <c r="O11" s="18">
        <v>0.12907688069835038</v>
      </c>
      <c r="P11" s="18">
        <v>0.14903545795680959</v>
      </c>
      <c r="R11" s="16">
        <f t="shared" si="0"/>
        <v>0.22096370120253631</v>
      </c>
      <c r="S11" s="16">
        <f t="shared" si="1"/>
        <v>0.11158032220781794</v>
      </c>
      <c r="T11" s="16">
        <f t="shared" si="2"/>
        <v>0.17299585490043654</v>
      </c>
      <c r="U11" s="16">
        <f t="shared" si="3"/>
        <v>-0.10938337899471837</v>
      </c>
      <c r="V11" s="16">
        <f t="shared" si="4"/>
        <v>-4.796784630209977E-2</v>
      </c>
      <c r="W11" s="16">
        <f t="shared" si="5"/>
        <v>6.1415532692618596E-2</v>
      </c>
      <c r="X11" s="16"/>
      <c r="Y11" s="16">
        <f t="shared" si="6"/>
        <v>0.15491950240026273</v>
      </c>
      <c r="Z11" s="16">
        <f t="shared" si="7"/>
        <v>0.18728593758986742</v>
      </c>
      <c r="AA11" s="16">
        <f t="shared" si="8"/>
        <v>0.17855956611414642</v>
      </c>
      <c r="AB11" s="16">
        <f t="shared" si="9"/>
        <v>3.2366435189604692E-2</v>
      </c>
      <c r="AC11" s="16">
        <f t="shared" si="10"/>
        <v>2.3640063713883691E-2</v>
      </c>
      <c r="AD11" s="16">
        <f t="shared" si="11"/>
        <v>-8.7263714757210009E-3</v>
      </c>
      <c r="AE11" s="16"/>
      <c r="AF11" s="16">
        <f t="shared" si="12"/>
        <v>0.17188173755069933</v>
      </c>
      <c r="AG11" s="16">
        <f t="shared" si="13"/>
        <v>0.12907688069835038</v>
      </c>
      <c r="AH11" s="16">
        <f t="shared" si="14"/>
        <v>0.14903545795680959</v>
      </c>
      <c r="AI11" s="16">
        <f t="shared" si="15"/>
        <v>-4.2804856852348944E-2</v>
      </c>
      <c r="AJ11" s="16">
        <f t="shared" si="16"/>
        <v>-2.284627959388974E-2</v>
      </c>
      <c r="AK11" s="16">
        <f t="shared" si="17"/>
        <v>1.9958577258459204E-2</v>
      </c>
    </row>
    <row r="12" spans="2:37" x14ac:dyDescent="0.25">
      <c r="B12" s="1">
        <v>12</v>
      </c>
      <c r="C12" s="1">
        <v>15</v>
      </c>
      <c r="D12" s="1">
        <v>50</v>
      </c>
      <c r="E12" s="18">
        <v>2.0583328832841954E-4</v>
      </c>
      <c r="F12" s="18">
        <v>0.14551710436910531</v>
      </c>
      <c r="G12" s="18">
        <v>6.4263398998750026E-2</v>
      </c>
      <c r="H12" s="18">
        <v>0.18389477482781655</v>
      </c>
      <c r="I12" s="18">
        <v>9.4301133036252816E-3</v>
      </c>
      <c r="J12" s="18">
        <v>0.16415255881193841</v>
      </c>
      <c r="K12" s="18">
        <v>0.10511310385625645</v>
      </c>
      <c r="L12" s="18">
        <v>0.20282098694732778</v>
      </c>
      <c r="M12" s="18">
        <v>5.9573830761991912E-3</v>
      </c>
      <c r="N12" s="18">
        <v>0.22288233417823999</v>
      </c>
      <c r="O12" s="18">
        <v>9.8191522145861826E-2</v>
      </c>
      <c r="P12" s="18">
        <v>0.14020867932347078</v>
      </c>
      <c r="R12" s="16">
        <f t="shared" si="0"/>
        <v>0.14531127108077688</v>
      </c>
      <c r="S12" s="16">
        <f t="shared" si="1"/>
        <v>6.4057565710421607E-2</v>
      </c>
      <c r="T12" s="16">
        <f t="shared" si="2"/>
        <v>0.18368894153948812</v>
      </c>
      <c r="U12" s="16">
        <f t="shared" si="3"/>
        <v>-8.1253705370355284E-2</v>
      </c>
      <c r="V12" s="16">
        <f t="shared" si="4"/>
        <v>3.8377670458711238E-2</v>
      </c>
      <c r="W12" s="16">
        <f t="shared" si="5"/>
        <v>0.11963137582906652</v>
      </c>
      <c r="X12" s="16"/>
      <c r="Y12" s="16">
        <f t="shared" si="6"/>
        <v>0.15472244550831313</v>
      </c>
      <c r="Z12" s="16">
        <f t="shared" si="7"/>
        <v>9.5682990552631172E-2</v>
      </c>
      <c r="AA12" s="16">
        <f t="shared" si="8"/>
        <v>0.1933908736437025</v>
      </c>
      <c r="AB12" s="16">
        <f t="shared" si="9"/>
        <v>-5.9039454955681955E-2</v>
      </c>
      <c r="AC12" s="16">
        <f t="shared" si="10"/>
        <v>3.8668428135389371E-2</v>
      </c>
      <c r="AD12" s="16">
        <f t="shared" si="11"/>
        <v>9.7707883091071326E-2</v>
      </c>
      <c r="AE12" s="16"/>
      <c r="AF12" s="16">
        <f t="shared" si="12"/>
        <v>0.2169249511020408</v>
      </c>
      <c r="AG12" s="16">
        <f t="shared" si="13"/>
        <v>9.223413906966263E-2</v>
      </c>
      <c r="AH12" s="16">
        <f t="shared" si="14"/>
        <v>0.13425129624727158</v>
      </c>
      <c r="AI12" s="16">
        <f t="shared" si="15"/>
        <v>-0.12469081203237817</v>
      </c>
      <c r="AJ12" s="16">
        <f t="shared" si="16"/>
        <v>-8.2673654854769213E-2</v>
      </c>
      <c r="AK12" s="16">
        <f t="shared" si="17"/>
        <v>4.2017157177608955E-2</v>
      </c>
    </row>
    <row r="13" spans="2:37" x14ac:dyDescent="0.25">
      <c r="B13" s="1">
        <v>16</v>
      </c>
      <c r="C13" s="1">
        <v>5</v>
      </c>
      <c r="D13" s="1">
        <v>30</v>
      </c>
      <c r="E13" s="18">
        <v>2.8968729421299791E-3</v>
      </c>
      <c r="F13" s="18">
        <v>0.21141477089518665</v>
      </c>
      <c r="G13" s="18">
        <v>9.5085355019916121E-2</v>
      </c>
      <c r="H13" s="18">
        <v>0.18465289520601805</v>
      </c>
      <c r="I13" s="18">
        <v>4.5173379741254155E-3</v>
      </c>
      <c r="J13" s="18">
        <v>0.17105854474098042</v>
      </c>
      <c r="K13" s="18">
        <v>9.0262158574398982E-2</v>
      </c>
      <c r="L13" s="18">
        <v>0.1565076517668956</v>
      </c>
      <c r="M13" s="18">
        <v>1.1200404316460338E-2</v>
      </c>
      <c r="N13" s="18">
        <v>0.15478727227124131</v>
      </c>
      <c r="O13" s="18">
        <v>7.4696785871019841E-2</v>
      </c>
      <c r="P13" s="18">
        <v>0.16686129724892479</v>
      </c>
      <c r="R13" s="16">
        <f t="shared" si="0"/>
        <v>0.20851789795305667</v>
      </c>
      <c r="S13" s="16">
        <f t="shared" si="1"/>
        <v>9.2188482077786141E-2</v>
      </c>
      <c r="T13" s="16">
        <f t="shared" si="2"/>
        <v>0.18175602226388807</v>
      </c>
      <c r="U13" s="16">
        <f t="shared" si="3"/>
        <v>-0.11632941587527053</v>
      </c>
      <c r="V13" s="16">
        <f t="shared" si="4"/>
        <v>-2.6761875689168602E-2</v>
      </c>
      <c r="W13" s="16">
        <f t="shared" si="5"/>
        <v>8.9567540186101927E-2</v>
      </c>
      <c r="X13" s="16"/>
      <c r="Y13" s="16">
        <f t="shared" si="6"/>
        <v>0.16654120676685502</v>
      </c>
      <c r="Z13" s="16">
        <f t="shared" si="7"/>
        <v>8.5744820600273566E-2</v>
      </c>
      <c r="AA13" s="16">
        <f t="shared" si="8"/>
        <v>0.15199031379277017</v>
      </c>
      <c r="AB13" s="16">
        <f t="shared" si="9"/>
        <v>-8.0796386166581441E-2</v>
      </c>
      <c r="AC13" s="16">
        <f t="shared" si="10"/>
        <v>-1.4550892974084823E-2</v>
      </c>
      <c r="AD13" s="16">
        <f t="shared" si="11"/>
        <v>6.6245493192496618E-2</v>
      </c>
      <c r="AE13" s="16"/>
      <c r="AF13" s="16">
        <f t="shared" si="12"/>
        <v>0.14358686795478098</v>
      </c>
      <c r="AG13" s="16">
        <f t="shared" si="13"/>
        <v>6.34963815545595E-2</v>
      </c>
      <c r="AH13" s="16">
        <f t="shared" si="14"/>
        <v>0.15566089293246446</v>
      </c>
      <c r="AI13" s="16">
        <f t="shared" si="15"/>
        <v>-8.0090486400221469E-2</v>
      </c>
      <c r="AJ13" s="16">
        <f t="shared" si="16"/>
        <v>1.2074024977683478E-2</v>
      </c>
      <c r="AK13" s="16">
        <f t="shared" si="17"/>
        <v>9.2164511377904948E-2</v>
      </c>
    </row>
    <row r="14" spans="2:37" x14ac:dyDescent="0.25">
      <c r="B14" s="1">
        <v>16</v>
      </c>
      <c r="C14" s="1">
        <v>5</v>
      </c>
      <c r="D14" s="1">
        <v>40</v>
      </c>
      <c r="E14" s="18">
        <v>0</v>
      </c>
      <c r="F14" s="18">
        <v>0.19287792620231725</v>
      </c>
      <c r="G14" s="18">
        <v>9.0869067086354102E-2</v>
      </c>
      <c r="H14" s="18">
        <v>0.1864079717648591</v>
      </c>
      <c r="I14" s="18">
        <v>0</v>
      </c>
      <c r="J14" s="18">
        <v>0.20104405378253221</v>
      </c>
      <c r="K14" s="18">
        <v>5.6667081824940957E-2</v>
      </c>
      <c r="L14" s="18">
        <v>0.15307714445320075</v>
      </c>
      <c r="M14" s="18">
        <v>1.5774312081012886E-2</v>
      </c>
      <c r="N14" s="18">
        <v>0.17535953439080038</v>
      </c>
      <c r="O14" s="18">
        <v>8.1877877809298741E-2</v>
      </c>
      <c r="P14" s="18">
        <v>0.15793735531833822</v>
      </c>
      <c r="R14" s="16">
        <f t="shared" si="0"/>
        <v>0.19287792620231725</v>
      </c>
      <c r="S14" s="16">
        <f t="shared" si="1"/>
        <v>9.0869067086354102E-2</v>
      </c>
      <c r="T14" s="16">
        <f t="shared" si="2"/>
        <v>0.1864079717648591</v>
      </c>
      <c r="U14" s="16">
        <f t="shared" si="3"/>
        <v>-0.10200885911596315</v>
      </c>
      <c r="V14" s="16">
        <f t="shared" si="4"/>
        <v>-6.469954437458153E-3</v>
      </c>
      <c r="W14" s="16">
        <f t="shared" si="5"/>
        <v>9.5538904678504996E-2</v>
      </c>
      <c r="X14" s="16"/>
      <c r="Y14" s="16">
        <f t="shared" si="6"/>
        <v>0.20104405378253221</v>
      </c>
      <c r="Z14" s="16">
        <f t="shared" si="7"/>
        <v>5.6667081824940957E-2</v>
      </c>
      <c r="AA14" s="16">
        <f t="shared" si="8"/>
        <v>0.15307714445320075</v>
      </c>
      <c r="AB14" s="16">
        <f t="shared" si="9"/>
        <v>-0.14437697195759125</v>
      </c>
      <c r="AC14" s="16">
        <f t="shared" si="10"/>
        <v>-4.7966909329331453E-2</v>
      </c>
      <c r="AD14" s="16">
        <f t="shared" si="11"/>
        <v>9.6410062628259796E-2</v>
      </c>
      <c r="AE14" s="16"/>
      <c r="AF14" s="16">
        <f t="shared" si="12"/>
        <v>0.1595852223097875</v>
      </c>
      <c r="AG14" s="16">
        <f t="shared" si="13"/>
        <v>6.6103565728285851E-2</v>
      </c>
      <c r="AH14" s="16">
        <f t="shared" si="14"/>
        <v>0.14216304323732534</v>
      </c>
      <c r="AI14" s="16">
        <f t="shared" si="15"/>
        <v>-9.3481656581501635E-2</v>
      </c>
      <c r="AJ14" s="16">
        <f t="shared" si="16"/>
        <v>-1.7422179072462157E-2</v>
      </c>
      <c r="AK14" s="16">
        <f t="shared" si="17"/>
        <v>7.6059477509039478E-2</v>
      </c>
    </row>
    <row r="15" spans="2:37" x14ac:dyDescent="0.25">
      <c r="B15" s="1">
        <v>16</v>
      </c>
      <c r="C15" s="1">
        <v>5</v>
      </c>
      <c r="D15" s="1">
        <v>50</v>
      </c>
      <c r="E15" s="18">
        <v>1.8547630986561754E-3</v>
      </c>
      <c r="F15" s="18">
        <v>0.17330278446382405</v>
      </c>
      <c r="G15" s="18">
        <v>4.6844266737092424E-2</v>
      </c>
      <c r="H15" s="18">
        <v>0.1363292721165176</v>
      </c>
      <c r="I15" s="18">
        <v>2.7214680663319524E-3</v>
      </c>
      <c r="J15" s="18">
        <v>0.17948675765529074</v>
      </c>
      <c r="K15" s="18">
        <v>6.4829291448097487E-2</v>
      </c>
      <c r="L15" s="18">
        <v>0.16208938678758439</v>
      </c>
      <c r="M15" s="18">
        <v>3.7149523041984803E-3</v>
      </c>
      <c r="N15" s="18">
        <v>0.17053381087186739</v>
      </c>
      <c r="O15" s="18">
        <v>8.603653582231896E-2</v>
      </c>
      <c r="P15" s="18">
        <v>0.10099986351730758</v>
      </c>
      <c r="R15" s="16">
        <f t="shared" si="0"/>
        <v>0.17144802136516787</v>
      </c>
      <c r="S15" s="16">
        <f t="shared" si="1"/>
        <v>4.4989503638436248E-2</v>
      </c>
      <c r="T15" s="16">
        <f t="shared" si="2"/>
        <v>0.13447450901786143</v>
      </c>
      <c r="U15" s="16">
        <f t="shared" si="3"/>
        <v>-0.12645851772673161</v>
      </c>
      <c r="V15" s="16">
        <f t="shared" si="4"/>
        <v>-3.6973512347306448E-2</v>
      </c>
      <c r="W15" s="16">
        <f t="shared" si="5"/>
        <v>8.9485005379425178E-2</v>
      </c>
      <c r="X15" s="16"/>
      <c r="Y15" s="16">
        <f t="shared" si="6"/>
        <v>0.17676528958895879</v>
      </c>
      <c r="Z15" s="16">
        <f t="shared" si="7"/>
        <v>6.2107823381765535E-2</v>
      </c>
      <c r="AA15" s="16">
        <f t="shared" si="8"/>
        <v>0.15936791872125244</v>
      </c>
      <c r="AB15" s="16">
        <f t="shared" si="9"/>
        <v>-0.11465746620719325</v>
      </c>
      <c r="AC15" s="16">
        <f t="shared" si="10"/>
        <v>-1.7397370867706347E-2</v>
      </c>
      <c r="AD15" s="16">
        <f t="shared" si="11"/>
        <v>9.7260095339486902E-2</v>
      </c>
      <c r="AE15" s="16"/>
      <c r="AF15" s="16">
        <f t="shared" si="12"/>
        <v>0.1668188585676689</v>
      </c>
      <c r="AG15" s="16">
        <f t="shared" si="13"/>
        <v>8.2321583518120481E-2</v>
      </c>
      <c r="AH15" s="16">
        <f t="shared" si="14"/>
        <v>9.7284911213109102E-2</v>
      </c>
      <c r="AI15" s="16">
        <f t="shared" si="15"/>
        <v>-8.4497275049548431E-2</v>
      </c>
      <c r="AJ15" s="16">
        <f t="shared" si="16"/>
        <v>-6.9533947354559811E-2</v>
      </c>
      <c r="AK15" s="16">
        <f t="shared" si="17"/>
        <v>1.4963327694988621E-2</v>
      </c>
    </row>
    <row r="16" spans="2:37" x14ac:dyDescent="0.25">
      <c r="B16" s="1">
        <v>16</v>
      </c>
      <c r="C16" s="1">
        <v>10</v>
      </c>
      <c r="D16" s="1">
        <v>30</v>
      </c>
      <c r="E16" s="18">
        <v>2.1925815146721581E-3</v>
      </c>
      <c r="F16" s="18">
        <v>0.15143648567199719</v>
      </c>
      <c r="G16" s="18">
        <v>8.4239382930063528E-2</v>
      </c>
      <c r="H16" s="18">
        <v>0.16088655424379156</v>
      </c>
      <c r="I16" s="18">
        <v>0</v>
      </c>
      <c r="J16" s="18">
        <v>0.17065507683059983</v>
      </c>
      <c r="K16" s="18">
        <v>0.12540173432946619</v>
      </c>
      <c r="L16" s="18">
        <v>0.17517504409204138</v>
      </c>
      <c r="M16" s="18">
        <v>5.6696901351255729E-3</v>
      </c>
      <c r="N16" s="18">
        <v>0.19789316683262653</v>
      </c>
      <c r="O16" s="18">
        <v>0.1255842660796454</v>
      </c>
      <c r="P16" s="18">
        <v>0.18212050854695994</v>
      </c>
      <c r="R16" s="16">
        <f t="shared" si="0"/>
        <v>0.14924390415732502</v>
      </c>
      <c r="S16" s="16">
        <f t="shared" si="1"/>
        <v>8.2046801415391363E-2</v>
      </c>
      <c r="T16" s="16">
        <f t="shared" si="2"/>
        <v>0.15869397272911939</v>
      </c>
      <c r="U16" s="16">
        <f t="shared" si="3"/>
        <v>-6.7197102741933662E-2</v>
      </c>
      <c r="V16" s="16">
        <f t="shared" si="4"/>
        <v>9.4500685717943678E-3</v>
      </c>
      <c r="W16" s="16">
        <f t="shared" si="5"/>
        <v>7.664717131372803E-2</v>
      </c>
      <c r="X16" s="16"/>
      <c r="Y16" s="16">
        <f t="shared" si="6"/>
        <v>0.17065507683059983</v>
      </c>
      <c r="Z16" s="16">
        <f t="shared" si="7"/>
        <v>0.12540173432946619</v>
      </c>
      <c r="AA16" s="16">
        <f t="shared" si="8"/>
        <v>0.17517504409204138</v>
      </c>
      <c r="AB16" s="16">
        <f t="shared" si="9"/>
        <v>-4.5253342501133637E-2</v>
      </c>
      <c r="AC16" s="16">
        <f t="shared" si="10"/>
        <v>4.5199672614415487E-3</v>
      </c>
      <c r="AD16" s="16">
        <f t="shared" si="11"/>
        <v>4.9773309762575185E-2</v>
      </c>
      <c r="AE16" s="16"/>
      <c r="AF16" s="16">
        <f t="shared" si="12"/>
        <v>0.19222347669750095</v>
      </c>
      <c r="AG16" s="16">
        <f t="shared" si="13"/>
        <v>0.11991457594451983</v>
      </c>
      <c r="AH16" s="16">
        <f t="shared" si="14"/>
        <v>0.17645081841183435</v>
      </c>
      <c r="AI16" s="16">
        <f t="shared" si="15"/>
        <v>-7.2308900752981131E-2</v>
      </c>
      <c r="AJ16" s="16">
        <f t="shared" si="16"/>
        <v>-1.5772658285666596E-2</v>
      </c>
      <c r="AK16" s="16">
        <f t="shared" si="17"/>
        <v>5.6536242467314535E-2</v>
      </c>
    </row>
    <row r="17" spans="2:37" x14ac:dyDescent="0.25">
      <c r="B17" s="1">
        <v>16</v>
      </c>
      <c r="C17" s="1">
        <v>10</v>
      </c>
      <c r="D17" s="1">
        <v>40</v>
      </c>
      <c r="E17" s="18">
        <v>7.8334086927074023E-4</v>
      </c>
      <c r="F17" s="18">
        <v>0.18794008802293452</v>
      </c>
      <c r="G17" s="18">
        <v>8.9206589600840464E-2</v>
      </c>
      <c r="H17" s="18">
        <v>0.16431213468673875</v>
      </c>
      <c r="I17" s="18">
        <v>8.1559635203495053E-3</v>
      </c>
      <c r="J17" s="18">
        <v>0.20979260931740368</v>
      </c>
      <c r="K17" s="18">
        <v>0.14468085161872896</v>
      </c>
      <c r="L17" s="18">
        <v>0.17194067142636787</v>
      </c>
      <c r="M17" s="18">
        <v>1.4543045005931182E-3</v>
      </c>
      <c r="N17" s="18">
        <v>0.19723593834257064</v>
      </c>
      <c r="O17" s="18">
        <v>7.4894142221164611E-2</v>
      </c>
      <c r="P17" s="18">
        <v>0.14877974849270889</v>
      </c>
      <c r="R17" s="16">
        <f t="shared" si="0"/>
        <v>0.18715674715366379</v>
      </c>
      <c r="S17" s="16">
        <f t="shared" si="1"/>
        <v>8.8423248731569717E-2</v>
      </c>
      <c r="T17" s="16">
        <f t="shared" si="2"/>
        <v>0.16352879381746802</v>
      </c>
      <c r="U17" s="16">
        <f t="shared" si="3"/>
        <v>-9.8733498422094057E-2</v>
      </c>
      <c r="V17" s="16">
        <f t="shared" si="4"/>
        <v>-2.3627953336195773E-2</v>
      </c>
      <c r="W17" s="16">
        <f t="shared" si="5"/>
        <v>7.5105545085898284E-2</v>
      </c>
      <c r="X17" s="16"/>
      <c r="Y17" s="16">
        <f t="shared" si="6"/>
        <v>0.20163664579705418</v>
      </c>
      <c r="Z17" s="16">
        <f t="shared" si="7"/>
        <v>0.13652488809837945</v>
      </c>
      <c r="AA17" s="16">
        <f t="shared" si="8"/>
        <v>0.16378470790601837</v>
      </c>
      <c r="AB17" s="16">
        <f t="shared" si="9"/>
        <v>-6.5111757698674722E-2</v>
      </c>
      <c r="AC17" s="16">
        <f t="shared" si="10"/>
        <v>-3.7851937891035803E-2</v>
      </c>
      <c r="AD17" s="16">
        <f t="shared" si="11"/>
        <v>2.7259819807638919E-2</v>
      </c>
      <c r="AE17" s="16"/>
      <c r="AF17" s="16">
        <f t="shared" si="12"/>
        <v>0.19578163384197753</v>
      </c>
      <c r="AG17" s="16">
        <f t="shared" si="13"/>
        <v>7.3439837720571499E-2</v>
      </c>
      <c r="AH17" s="16">
        <f t="shared" si="14"/>
        <v>0.14732544399211578</v>
      </c>
      <c r="AI17" s="16">
        <f t="shared" si="15"/>
        <v>-0.12234179612140603</v>
      </c>
      <c r="AJ17" s="16">
        <f t="shared" si="16"/>
        <v>-4.8456189849861747E-2</v>
      </c>
      <c r="AK17" s="16">
        <f t="shared" si="17"/>
        <v>7.388560627154428E-2</v>
      </c>
    </row>
    <row r="18" spans="2:37" x14ac:dyDescent="0.25">
      <c r="B18" s="1">
        <v>16</v>
      </c>
      <c r="C18" s="1">
        <v>10</v>
      </c>
      <c r="D18" s="1">
        <v>50</v>
      </c>
      <c r="E18" s="18">
        <v>6.4296143550703604E-3</v>
      </c>
      <c r="F18" s="18">
        <v>0.17482675100836473</v>
      </c>
      <c r="G18" s="18">
        <v>4.3739205100464314E-2</v>
      </c>
      <c r="H18" s="18">
        <v>0.13051718289702072</v>
      </c>
      <c r="I18" s="18">
        <v>1.3017029286310202E-2</v>
      </c>
      <c r="J18" s="18">
        <v>0.16687057507953912</v>
      </c>
      <c r="K18" s="18">
        <v>5.5026493624311557E-2</v>
      </c>
      <c r="L18" s="18">
        <v>0.14475609010830098</v>
      </c>
      <c r="M18" s="18">
        <v>1.652522750211933E-3</v>
      </c>
      <c r="N18" s="18">
        <v>0.23906995542670856</v>
      </c>
      <c r="O18" s="18">
        <v>7.8714308487290441E-2</v>
      </c>
      <c r="P18" s="18">
        <v>0.13021083365266986</v>
      </c>
      <c r="R18" s="16">
        <f t="shared" si="0"/>
        <v>0.16839713665329437</v>
      </c>
      <c r="S18" s="16">
        <f t="shared" si="1"/>
        <v>3.7309590745393952E-2</v>
      </c>
      <c r="T18" s="16">
        <f t="shared" si="2"/>
        <v>0.12408756854195035</v>
      </c>
      <c r="U18" s="16">
        <f t="shared" si="3"/>
        <v>-0.13108754590790042</v>
      </c>
      <c r="V18" s="16">
        <f t="shared" si="4"/>
        <v>-4.4309568111344011E-2</v>
      </c>
      <c r="W18" s="16">
        <f t="shared" si="5"/>
        <v>8.677797779655641E-2</v>
      </c>
      <c r="X18" s="16"/>
      <c r="Y18" s="16">
        <f t="shared" si="6"/>
        <v>0.15385354579322891</v>
      </c>
      <c r="Z18" s="16">
        <f t="shared" si="7"/>
        <v>4.2009464338001352E-2</v>
      </c>
      <c r="AA18" s="16">
        <f t="shared" si="8"/>
        <v>0.13173906082199077</v>
      </c>
      <c r="AB18" s="16">
        <f t="shared" si="9"/>
        <v>-0.11184408145522756</v>
      </c>
      <c r="AC18" s="16">
        <f t="shared" si="10"/>
        <v>-2.2114484971238135E-2</v>
      </c>
      <c r="AD18" s="16">
        <f t="shared" si="11"/>
        <v>8.9729596483989427E-2</v>
      </c>
      <c r="AE18" s="16"/>
      <c r="AF18" s="16">
        <f t="shared" si="12"/>
        <v>0.23741743267649662</v>
      </c>
      <c r="AG18" s="16">
        <f t="shared" si="13"/>
        <v>7.7061785737078503E-2</v>
      </c>
      <c r="AH18" s="16">
        <f t="shared" si="14"/>
        <v>0.12855831090245792</v>
      </c>
      <c r="AI18" s="16">
        <f t="shared" si="15"/>
        <v>-0.16035564693941812</v>
      </c>
      <c r="AJ18" s="16">
        <f t="shared" si="16"/>
        <v>-0.1088591217740387</v>
      </c>
      <c r="AK18" s="16">
        <f t="shared" si="17"/>
        <v>5.149652516537942E-2</v>
      </c>
    </row>
    <row r="19" spans="2:37" x14ac:dyDescent="0.25">
      <c r="B19" s="1">
        <v>16</v>
      </c>
      <c r="C19" s="1">
        <v>15</v>
      </c>
      <c r="D19" s="1">
        <v>30</v>
      </c>
      <c r="E19" s="18">
        <v>0</v>
      </c>
      <c r="F19" s="18">
        <v>0.45828056745933632</v>
      </c>
      <c r="G19" s="18">
        <v>0.16712695086223853</v>
      </c>
      <c r="H19" s="18">
        <v>0.20578051542285775</v>
      </c>
      <c r="I19" s="18">
        <v>0</v>
      </c>
      <c r="J19" s="18">
        <v>0.33911801163416555</v>
      </c>
      <c r="K19" s="18">
        <v>0.28379276777670792</v>
      </c>
      <c r="L19" s="18">
        <v>0.16571232975103523</v>
      </c>
      <c r="M19" s="18">
        <v>0</v>
      </c>
      <c r="N19" s="18">
        <v>0.20891166396574962</v>
      </c>
      <c r="O19" s="18">
        <v>8.5785074825928245E-2</v>
      </c>
      <c r="P19" s="18">
        <v>0.19565717999830007</v>
      </c>
      <c r="R19" s="16">
        <f t="shared" si="0"/>
        <v>0.45828056745933632</v>
      </c>
      <c r="S19" s="16">
        <f t="shared" si="1"/>
        <v>0.16712695086223853</v>
      </c>
      <c r="T19" s="16">
        <f t="shared" si="2"/>
        <v>0.20578051542285775</v>
      </c>
      <c r="U19" s="16">
        <f t="shared" si="3"/>
        <v>-0.29115361659709782</v>
      </c>
      <c r="V19" s="16">
        <f t="shared" si="4"/>
        <v>-0.25250005203647857</v>
      </c>
      <c r="W19" s="16">
        <f t="shared" si="5"/>
        <v>3.8653564560619219E-2</v>
      </c>
      <c r="X19" s="16"/>
      <c r="Y19" s="16">
        <f t="shared" si="6"/>
        <v>0.33911801163416555</v>
      </c>
      <c r="Z19" s="16">
        <f t="shared" si="7"/>
        <v>0.28379276777670792</v>
      </c>
      <c r="AA19" s="16">
        <f t="shared" si="8"/>
        <v>0.16571232975103523</v>
      </c>
      <c r="AB19" s="16">
        <f t="shared" si="9"/>
        <v>-5.5325243857457629E-2</v>
      </c>
      <c r="AC19" s="16">
        <f t="shared" si="10"/>
        <v>-0.17340568188313032</v>
      </c>
      <c r="AD19" s="16">
        <f t="shared" si="11"/>
        <v>-0.1180804380256727</v>
      </c>
      <c r="AE19" s="16"/>
      <c r="AF19" s="16">
        <f t="shared" si="12"/>
        <v>0.20891166396574962</v>
      </c>
      <c r="AG19" s="16">
        <f t="shared" si="13"/>
        <v>8.5785074825928245E-2</v>
      </c>
      <c r="AH19" s="16">
        <f t="shared" si="14"/>
        <v>0.19565717999830007</v>
      </c>
      <c r="AI19" s="16">
        <f t="shared" si="15"/>
        <v>-0.12312658913982137</v>
      </c>
      <c r="AJ19" s="16">
        <f t="shared" si="16"/>
        <v>-1.3254483967449548E-2</v>
      </c>
      <c r="AK19" s="16">
        <f t="shared" si="17"/>
        <v>0.10987210517237182</v>
      </c>
    </row>
    <row r="20" spans="2:37" x14ac:dyDescent="0.25">
      <c r="B20" s="1">
        <v>16</v>
      </c>
      <c r="C20" s="1">
        <v>15</v>
      </c>
      <c r="D20" s="1">
        <v>40</v>
      </c>
      <c r="E20" s="18">
        <v>0</v>
      </c>
      <c r="F20" s="18">
        <v>0.17326472757458083</v>
      </c>
      <c r="G20" s="18">
        <v>0.1267569623117285</v>
      </c>
      <c r="H20" s="18">
        <v>0.14117762969752631</v>
      </c>
      <c r="I20" s="18">
        <v>0</v>
      </c>
      <c r="J20" s="18">
        <v>0.2461878566448302</v>
      </c>
      <c r="K20" s="18">
        <v>0.1385164242877823</v>
      </c>
      <c r="L20" s="18">
        <v>0.16677100734063516</v>
      </c>
      <c r="M20" s="18">
        <v>5.0796030344257012E-3</v>
      </c>
      <c r="N20" s="18">
        <v>0.14918433367256231</v>
      </c>
      <c r="O20" s="18">
        <v>8.1734987472651316E-2</v>
      </c>
      <c r="P20" s="18">
        <v>0.19737020408010625</v>
      </c>
      <c r="R20" s="16">
        <f t="shared" si="0"/>
        <v>0.17326472757458083</v>
      </c>
      <c r="S20" s="16">
        <f t="shared" si="1"/>
        <v>0.1267569623117285</v>
      </c>
      <c r="T20" s="16">
        <f t="shared" si="2"/>
        <v>0.14117762969752631</v>
      </c>
      <c r="U20" s="16">
        <f t="shared" si="3"/>
        <v>-4.650776526285233E-2</v>
      </c>
      <c r="V20" s="16">
        <f t="shared" si="4"/>
        <v>-3.2087097877054521E-2</v>
      </c>
      <c r="W20" s="16">
        <f t="shared" si="5"/>
        <v>1.4420667385797808E-2</v>
      </c>
      <c r="X20" s="16"/>
      <c r="Y20" s="16">
        <f t="shared" si="6"/>
        <v>0.2461878566448302</v>
      </c>
      <c r="Z20" s="16">
        <f t="shared" si="7"/>
        <v>0.1385164242877823</v>
      </c>
      <c r="AA20" s="16">
        <f t="shared" si="8"/>
        <v>0.16677100734063516</v>
      </c>
      <c r="AB20" s="16">
        <f t="shared" si="9"/>
        <v>-0.1076714323570479</v>
      </c>
      <c r="AC20" s="16">
        <f t="shared" si="10"/>
        <v>-7.9416849304195042E-2</v>
      </c>
      <c r="AD20" s="16">
        <f t="shared" si="11"/>
        <v>2.8254583052852861E-2</v>
      </c>
      <c r="AE20" s="16"/>
      <c r="AF20" s="16">
        <f t="shared" si="12"/>
        <v>0.14410473063813661</v>
      </c>
      <c r="AG20" s="16">
        <f t="shared" si="13"/>
        <v>7.6655384438225616E-2</v>
      </c>
      <c r="AH20" s="16">
        <f t="shared" si="14"/>
        <v>0.19229060104568055</v>
      </c>
      <c r="AI20" s="16">
        <f t="shared" si="15"/>
        <v>-6.7449346199910998E-2</v>
      </c>
      <c r="AJ20" s="16">
        <f t="shared" si="16"/>
        <v>4.8185870407543935E-2</v>
      </c>
      <c r="AK20" s="16">
        <f t="shared" si="17"/>
        <v>0.11563521660745493</v>
      </c>
    </row>
    <row r="21" spans="2:37" x14ac:dyDescent="0.25">
      <c r="B21" s="1">
        <v>16</v>
      </c>
      <c r="C21" s="1">
        <v>15</v>
      </c>
      <c r="D21" s="1">
        <v>50</v>
      </c>
      <c r="E21" s="18">
        <v>4.2104556337872111E-4</v>
      </c>
      <c r="F21" s="18">
        <v>0.20103427224679837</v>
      </c>
      <c r="G21" s="18">
        <v>9.4361703785031212E-2</v>
      </c>
      <c r="H21" s="18">
        <v>0.16902580467271092</v>
      </c>
      <c r="I21" s="18">
        <v>4.6492030660429812E-3</v>
      </c>
      <c r="J21" s="18">
        <v>0.24642464302553485</v>
      </c>
      <c r="K21" s="18">
        <v>4.63380295848888E-2</v>
      </c>
      <c r="L21" s="18">
        <v>0.14678519806555582</v>
      </c>
      <c r="M21" s="18">
        <v>1.0544648944918766E-3</v>
      </c>
      <c r="N21" s="18">
        <v>0.18078969140842122</v>
      </c>
      <c r="O21" s="18">
        <v>6.263001139239302E-2</v>
      </c>
      <c r="P21" s="18">
        <v>0.10870131414249569</v>
      </c>
      <c r="R21" s="16">
        <f t="shared" si="0"/>
        <v>0.20061322668341966</v>
      </c>
      <c r="S21" s="16">
        <f t="shared" si="1"/>
        <v>9.3940658221652484E-2</v>
      </c>
      <c r="T21" s="16">
        <f t="shared" si="2"/>
        <v>0.1686047591093322</v>
      </c>
      <c r="U21" s="16">
        <f t="shared" si="3"/>
        <v>-0.10667256846176716</v>
      </c>
      <c r="V21" s="16">
        <f t="shared" si="4"/>
        <v>-3.2008467574087457E-2</v>
      </c>
      <c r="W21" s="16">
        <f t="shared" si="5"/>
        <v>7.4664100887679705E-2</v>
      </c>
      <c r="X21" s="16"/>
      <c r="Y21" s="16">
        <f t="shared" si="6"/>
        <v>0.24177543995949186</v>
      </c>
      <c r="Z21" s="16">
        <f t="shared" si="7"/>
        <v>4.1688826518845819E-2</v>
      </c>
      <c r="AA21" s="16">
        <f t="shared" si="8"/>
        <v>0.14213599499951285</v>
      </c>
      <c r="AB21" s="16">
        <f t="shared" si="9"/>
        <v>-0.20008661344064604</v>
      </c>
      <c r="AC21" s="16">
        <f t="shared" si="10"/>
        <v>-9.9639444959979034E-2</v>
      </c>
      <c r="AD21" s="16">
        <f t="shared" si="11"/>
        <v>0.10044716848066701</v>
      </c>
      <c r="AE21" s="16"/>
      <c r="AF21" s="16">
        <f t="shared" si="12"/>
        <v>0.17973522651392934</v>
      </c>
      <c r="AG21" s="16">
        <f t="shared" si="13"/>
        <v>6.1575546497901146E-2</v>
      </c>
      <c r="AH21" s="16">
        <f t="shared" si="14"/>
        <v>0.10764684924800381</v>
      </c>
      <c r="AI21" s="16">
        <f t="shared" si="15"/>
        <v>-0.1181596800160282</v>
      </c>
      <c r="AJ21" s="16">
        <f t="shared" si="16"/>
        <v>-7.2088377265925527E-2</v>
      </c>
      <c r="AK21" s="16">
        <f t="shared" si="17"/>
        <v>4.6071302750102669E-2</v>
      </c>
    </row>
    <row r="22" spans="2:37" x14ac:dyDescent="0.25">
      <c r="B22" s="1">
        <v>20</v>
      </c>
      <c r="C22" s="1">
        <v>5</v>
      </c>
      <c r="D22" s="1">
        <v>30</v>
      </c>
      <c r="E22" s="18">
        <v>6.9376779072349718E-4</v>
      </c>
      <c r="F22" s="18">
        <v>0.23153714563792263</v>
      </c>
      <c r="G22" s="18">
        <v>0.10315975198161427</v>
      </c>
      <c r="H22" s="18">
        <v>0.1423469223076812</v>
      </c>
      <c r="I22" s="18">
        <v>1.2481330688962271E-2</v>
      </c>
      <c r="J22" s="18">
        <v>0.1340097340275862</v>
      </c>
      <c r="K22" s="18">
        <v>0.13142908172626794</v>
      </c>
      <c r="L22" s="18">
        <v>0.17494238352406949</v>
      </c>
      <c r="M22" s="18">
        <v>1.1897801895511841E-3</v>
      </c>
      <c r="N22" s="18">
        <v>0.13317048030861497</v>
      </c>
      <c r="O22" s="18">
        <v>7.018950789980466E-2</v>
      </c>
      <c r="P22" s="18">
        <v>0.30156335767664449</v>
      </c>
      <c r="R22" s="16">
        <f t="shared" si="0"/>
        <v>0.23084337784719913</v>
      </c>
      <c r="S22" s="16">
        <f t="shared" si="1"/>
        <v>0.10246598419089077</v>
      </c>
      <c r="T22" s="16">
        <f t="shared" si="2"/>
        <v>0.1416531545169577</v>
      </c>
      <c r="U22" s="16">
        <f t="shared" si="3"/>
        <v>-0.12837739365630835</v>
      </c>
      <c r="V22" s="16">
        <f t="shared" si="4"/>
        <v>-8.919022333024143E-2</v>
      </c>
      <c r="W22" s="16">
        <f t="shared" si="5"/>
        <v>3.9187170326066931E-2</v>
      </c>
      <c r="X22" s="16"/>
      <c r="Y22" s="16">
        <f t="shared" si="6"/>
        <v>0.12152840333862393</v>
      </c>
      <c r="Z22" s="16">
        <f t="shared" si="7"/>
        <v>0.11894775103730566</v>
      </c>
      <c r="AA22" s="16">
        <f t="shared" si="8"/>
        <v>0.16246105283510723</v>
      </c>
      <c r="AB22" s="16">
        <f t="shared" si="9"/>
        <v>-2.5806523013182647E-3</v>
      </c>
      <c r="AC22" s="16">
        <f t="shared" si="10"/>
        <v>4.0932649496483287E-2</v>
      </c>
      <c r="AD22" s="16">
        <f t="shared" si="11"/>
        <v>4.3513301797801551E-2</v>
      </c>
      <c r="AE22" s="16"/>
      <c r="AF22" s="16">
        <f t="shared" si="12"/>
        <v>0.13198070011906379</v>
      </c>
      <c r="AG22" s="16">
        <f t="shared" si="13"/>
        <v>6.8999727710253478E-2</v>
      </c>
      <c r="AH22" s="16">
        <f t="shared" si="14"/>
        <v>0.30037357748709331</v>
      </c>
      <c r="AI22" s="16">
        <f t="shared" si="15"/>
        <v>-6.2980972408810315E-2</v>
      </c>
      <c r="AJ22" s="16">
        <f t="shared" si="16"/>
        <v>0.16839287736802952</v>
      </c>
      <c r="AK22" s="16">
        <f t="shared" si="17"/>
        <v>0.23137384977683984</v>
      </c>
    </row>
    <row r="23" spans="2:37" x14ac:dyDescent="0.25">
      <c r="B23" s="1">
        <v>20</v>
      </c>
      <c r="C23" s="1">
        <v>5</v>
      </c>
      <c r="D23" s="1">
        <v>40</v>
      </c>
      <c r="E23" s="18">
        <v>3.2943672308448275E-3</v>
      </c>
      <c r="F23" s="18">
        <v>0.19604738389919493</v>
      </c>
      <c r="G23" s="18">
        <v>5.3772835153388363E-2</v>
      </c>
      <c r="H23" s="18">
        <v>0.17349487090090188</v>
      </c>
      <c r="I23" s="18">
        <v>6.3184210848236228E-4</v>
      </c>
      <c r="J23" s="18">
        <v>0.15789207130104313</v>
      </c>
      <c r="K23" s="18">
        <v>8.1029962095210878E-2</v>
      </c>
      <c r="L23" s="18">
        <v>0.13423890293348217</v>
      </c>
      <c r="M23" s="18">
        <v>2.1403276861585267E-2</v>
      </c>
      <c r="N23" s="18">
        <v>0.14323824662401913</v>
      </c>
      <c r="O23" s="18">
        <v>0.1038943554486124</v>
      </c>
      <c r="P23" s="18">
        <v>0.19726443653793074</v>
      </c>
      <c r="R23" s="16">
        <f t="shared" si="0"/>
        <v>0.1927530166683501</v>
      </c>
      <c r="S23" s="16">
        <f t="shared" si="1"/>
        <v>5.0478467922543534E-2</v>
      </c>
      <c r="T23" s="16">
        <f t="shared" si="2"/>
        <v>0.17020050367005704</v>
      </c>
      <c r="U23" s="16">
        <f t="shared" si="3"/>
        <v>-0.14227454874580658</v>
      </c>
      <c r="V23" s="16">
        <f t="shared" si="4"/>
        <v>-2.2552512998293056E-2</v>
      </c>
      <c r="W23" s="16">
        <f t="shared" si="5"/>
        <v>0.11972203574751351</v>
      </c>
      <c r="X23" s="16"/>
      <c r="Y23" s="16">
        <f t="shared" si="6"/>
        <v>0.15726022919256077</v>
      </c>
      <c r="Z23" s="16">
        <f t="shared" si="7"/>
        <v>8.0398119986728522E-2</v>
      </c>
      <c r="AA23" s="16">
        <f t="shared" si="8"/>
        <v>0.13360706082499982</v>
      </c>
      <c r="AB23" s="16">
        <f t="shared" si="9"/>
        <v>-7.6862109205832252E-2</v>
      </c>
      <c r="AC23" s="16">
        <f t="shared" si="10"/>
        <v>-2.3653168367560956E-2</v>
      </c>
      <c r="AD23" s="16">
        <f t="shared" si="11"/>
        <v>5.3208940838271296E-2</v>
      </c>
      <c r="AE23" s="16"/>
      <c r="AF23" s="16">
        <f t="shared" si="12"/>
        <v>0.12183496976243385</v>
      </c>
      <c r="AG23" s="16">
        <f t="shared" si="13"/>
        <v>8.2491078587027145E-2</v>
      </c>
      <c r="AH23" s="16">
        <f t="shared" si="14"/>
        <v>0.17586115967634547</v>
      </c>
      <c r="AI23" s="16">
        <f t="shared" si="15"/>
        <v>-3.9343891175406723E-2</v>
      </c>
      <c r="AJ23" s="16">
        <f t="shared" si="16"/>
        <v>5.4026189913911615E-2</v>
      </c>
      <c r="AK23" s="16">
        <f t="shared" si="17"/>
        <v>9.3370081089318338E-2</v>
      </c>
    </row>
    <row r="24" spans="2:37" x14ac:dyDescent="0.25">
      <c r="B24" s="1">
        <v>20</v>
      </c>
      <c r="C24" s="1">
        <v>5</v>
      </c>
      <c r="D24" s="1">
        <v>50</v>
      </c>
      <c r="E24" s="18">
        <v>3.4261398561991124E-3</v>
      </c>
      <c r="F24" s="18">
        <v>0.15199054565022188</v>
      </c>
      <c r="G24" s="18">
        <v>4.4558521351072466E-2</v>
      </c>
      <c r="H24" s="18">
        <v>0.19663818001156988</v>
      </c>
      <c r="I24" s="18">
        <v>9.9796961902891192E-5</v>
      </c>
      <c r="J24" s="18">
        <v>0.17674481427136687</v>
      </c>
      <c r="K24" s="18">
        <v>3.5898686215205436E-2</v>
      </c>
      <c r="L24" s="18">
        <v>0.16889808705990952</v>
      </c>
      <c r="M24" s="18">
        <v>1.2190864076255677E-3</v>
      </c>
      <c r="N24" s="18">
        <v>0.15535896031693872</v>
      </c>
      <c r="O24" s="18">
        <v>7.7211325512267837E-2</v>
      </c>
      <c r="P24" s="18">
        <v>0.15824142713186881</v>
      </c>
      <c r="R24" s="16">
        <f t="shared" si="0"/>
        <v>0.14856440579402277</v>
      </c>
      <c r="S24" s="16">
        <f t="shared" si="1"/>
        <v>4.1132381494873353E-2</v>
      </c>
      <c r="T24" s="16">
        <f t="shared" si="2"/>
        <v>0.19321204015537077</v>
      </c>
      <c r="U24" s="16">
        <f t="shared" si="3"/>
        <v>-0.10743202429914941</v>
      </c>
      <c r="V24" s="16">
        <f t="shared" si="4"/>
        <v>4.4647634361347999E-2</v>
      </c>
      <c r="W24" s="16">
        <f t="shared" si="5"/>
        <v>0.15207965866049741</v>
      </c>
      <c r="X24" s="16"/>
      <c r="Y24" s="16">
        <f t="shared" si="6"/>
        <v>0.17664501730946397</v>
      </c>
      <c r="Z24" s="16">
        <f t="shared" si="7"/>
        <v>3.5798889253302546E-2</v>
      </c>
      <c r="AA24" s="16">
        <f t="shared" si="8"/>
        <v>0.16879829009800662</v>
      </c>
      <c r="AB24" s="16">
        <f t="shared" si="9"/>
        <v>-0.14084612805616142</v>
      </c>
      <c r="AC24" s="16">
        <f t="shared" si="10"/>
        <v>-7.8467272114573494E-3</v>
      </c>
      <c r="AD24" s="16">
        <f t="shared" si="11"/>
        <v>0.13299940084470407</v>
      </c>
      <c r="AE24" s="16"/>
      <c r="AF24" s="16">
        <f t="shared" si="12"/>
        <v>0.15413987390931314</v>
      </c>
      <c r="AG24" s="16">
        <f t="shared" si="13"/>
        <v>7.599223910464227E-2</v>
      </c>
      <c r="AH24" s="16">
        <f t="shared" si="14"/>
        <v>0.15702234072424323</v>
      </c>
      <c r="AI24" s="16">
        <f t="shared" si="15"/>
        <v>-7.8147634804670879E-2</v>
      </c>
      <c r="AJ24" s="16">
        <f t="shared" si="16"/>
        <v>2.8824668149300958E-3</v>
      </c>
      <c r="AK24" s="16">
        <f t="shared" si="17"/>
        <v>8.1030101619600975E-2</v>
      </c>
    </row>
    <row r="25" spans="2:37" x14ac:dyDescent="0.25">
      <c r="B25" s="1">
        <v>20</v>
      </c>
      <c r="C25" s="1">
        <v>10</v>
      </c>
      <c r="D25" s="1">
        <v>30</v>
      </c>
      <c r="E25" s="18">
        <v>0</v>
      </c>
      <c r="F25" s="18">
        <v>0.20874639496812622</v>
      </c>
      <c r="G25" s="18">
        <v>0.10125816223372304</v>
      </c>
      <c r="H25" s="18">
        <v>0.16740131730549615</v>
      </c>
      <c r="I25" s="18">
        <v>1.1545539460800888E-2</v>
      </c>
      <c r="J25" s="18">
        <v>0.16822494188159137</v>
      </c>
      <c r="K25" s="18">
        <v>7.4730278440863981E-2</v>
      </c>
      <c r="L25" s="18">
        <v>0.17139373163075097</v>
      </c>
      <c r="M25" s="18">
        <v>6.3238772201673903E-4</v>
      </c>
      <c r="N25" s="18">
        <v>0.19804324963324033</v>
      </c>
      <c r="O25" s="18">
        <v>4.9739270058415934E-2</v>
      </c>
      <c r="P25" s="18">
        <v>0.17449487168647687</v>
      </c>
      <c r="R25" s="16">
        <f t="shared" si="0"/>
        <v>0.20874639496812622</v>
      </c>
      <c r="S25" s="16">
        <f t="shared" si="1"/>
        <v>0.10125816223372304</v>
      </c>
      <c r="T25" s="16">
        <f t="shared" si="2"/>
        <v>0.16740131730549615</v>
      </c>
      <c r="U25" s="16">
        <f t="shared" si="3"/>
        <v>-0.10748823273440318</v>
      </c>
      <c r="V25" s="16">
        <f t="shared" si="4"/>
        <v>-4.134507766263007E-2</v>
      </c>
      <c r="W25" s="16">
        <f t="shared" si="5"/>
        <v>6.614315507177311E-2</v>
      </c>
      <c r="X25" s="16"/>
      <c r="Y25" s="16">
        <f t="shared" si="6"/>
        <v>0.15667940242079048</v>
      </c>
      <c r="Z25" s="16">
        <f t="shared" si="7"/>
        <v>6.318473898006309E-2</v>
      </c>
      <c r="AA25" s="16">
        <f t="shared" si="8"/>
        <v>0.15984819216995008</v>
      </c>
      <c r="AB25" s="16">
        <f t="shared" si="9"/>
        <v>-9.3494663440727391E-2</v>
      </c>
      <c r="AC25" s="16">
        <f t="shared" si="10"/>
        <v>3.1687897491596007E-3</v>
      </c>
      <c r="AD25" s="16">
        <f t="shared" si="11"/>
        <v>9.6663453189886991E-2</v>
      </c>
      <c r="AE25" s="16"/>
      <c r="AF25" s="16">
        <f t="shared" si="12"/>
        <v>0.19741086191122359</v>
      </c>
      <c r="AG25" s="16">
        <f t="shared" si="13"/>
        <v>4.9106882336399198E-2</v>
      </c>
      <c r="AH25" s="16">
        <f t="shared" si="14"/>
        <v>0.17386248396446013</v>
      </c>
      <c r="AI25" s="16">
        <f t="shared" si="15"/>
        <v>-0.14830397957482438</v>
      </c>
      <c r="AJ25" s="16">
        <f t="shared" si="16"/>
        <v>-2.3548377946763455E-2</v>
      </c>
      <c r="AK25" s="16">
        <f t="shared" si="17"/>
        <v>0.12475560162806093</v>
      </c>
    </row>
    <row r="26" spans="2:37" x14ac:dyDescent="0.25">
      <c r="B26" s="1">
        <v>20</v>
      </c>
      <c r="C26" s="1">
        <v>10</v>
      </c>
      <c r="D26" s="1">
        <v>40</v>
      </c>
      <c r="E26" s="18">
        <v>0</v>
      </c>
      <c r="F26" s="18">
        <v>0.23486609658366625</v>
      </c>
      <c r="G26" s="18">
        <v>9.3403941723598713E-2</v>
      </c>
      <c r="H26" s="18">
        <v>0.17021067682910246</v>
      </c>
      <c r="I26" s="18">
        <v>2.7449207833019126E-3</v>
      </c>
      <c r="J26" s="18">
        <v>0.1365770534985439</v>
      </c>
      <c r="K26" s="18">
        <v>0.1056938448241207</v>
      </c>
      <c r="L26" s="18">
        <v>0.18906500084817246</v>
      </c>
      <c r="M26" s="18">
        <v>1.4357559180857371E-2</v>
      </c>
      <c r="N26" s="18">
        <v>0.17963941582778556</v>
      </c>
      <c r="O26" s="18">
        <v>7.4885797359837206E-2</v>
      </c>
      <c r="P26" s="18">
        <v>0.12890393098718519</v>
      </c>
      <c r="R26" s="16">
        <f t="shared" si="0"/>
        <v>0.23486609658366625</v>
      </c>
      <c r="S26" s="16">
        <f t="shared" si="1"/>
        <v>9.3403941723598713E-2</v>
      </c>
      <c r="T26" s="16">
        <f t="shared" si="2"/>
        <v>0.17021067682910246</v>
      </c>
      <c r="U26" s="16">
        <f t="shared" si="3"/>
        <v>-0.14146215486006752</v>
      </c>
      <c r="V26" s="16">
        <f t="shared" si="4"/>
        <v>-6.4655419754563792E-2</v>
      </c>
      <c r="W26" s="16">
        <f t="shared" si="5"/>
        <v>7.6806735105503746E-2</v>
      </c>
      <c r="X26" s="16"/>
      <c r="Y26" s="16">
        <f t="shared" si="6"/>
        <v>0.133832132715242</v>
      </c>
      <c r="Z26" s="16">
        <f t="shared" si="7"/>
        <v>0.10294892404081879</v>
      </c>
      <c r="AA26" s="16">
        <f t="shared" si="8"/>
        <v>0.18632008006487055</v>
      </c>
      <c r="AB26" s="16">
        <f t="shared" si="9"/>
        <v>-3.0883208674423207E-2</v>
      </c>
      <c r="AC26" s="16">
        <f t="shared" si="10"/>
        <v>5.2487947349628555E-2</v>
      </c>
      <c r="AD26" s="16">
        <f t="shared" si="11"/>
        <v>8.3371156024051762E-2</v>
      </c>
      <c r="AE26" s="16"/>
      <c r="AF26" s="16">
        <f t="shared" si="12"/>
        <v>0.16528185664692818</v>
      </c>
      <c r="AG26" s="16">
        <f t="shared" si="13"/>
        <v>6.0528238178979836E-2</v>
      </c>
      <c r="AH26" s="16">
        <f t="shared" si="14"/>
        <v>0.11454637180632782</v>
      </c>
      <c r="AI26" s="16">
        <f t="shared" si="15"/>
        <v>-0.10475361846794835</v>
      </c>
      <c r="AJ26" s="16">
        <f t="shared" si="16"/>
        <v>-5.0735484840600364E-2</v>
      </c>
      <c r="AK26" s="16">
        <f t="shared" si="17"/>
        <v>5.4018133627347989E-2</v>
      </c>
    </row>
    <row r="27" spans="2:37" x14ac:dyDescent="0.25">
      <c r="B27" s="1">
        <v>20</v>
      </c>
      <c r="C27" s="1">
        <v>10</v>
      </c>
      <c r="D27" s="1">
        <v>50</v>
      </c>
      <c r="E27" s="18">
        <v>1.4591257216882531E-2</v>
      </c>
      <c r="F27" s="18">
        <v>0.17100782224208561</v>
      </c>
      <c r="G27" s="18">
        <v>7.9611456584362097E-2</v>
      </c>
      <c r="H27" s="18">
        <v>0.1644777300067318</v>
      </c>
      <c r="I27" s="18">
        <v>4.8295190356444908E-3</v>
      </c>
      <c r="J27" s="18">
        <v>0.19168158755670717</v>
      </c>
      <c r="K27" s="18">
        <v>8.2387789069890305E-2</v>
      </c>
      <c r="L27" s="18">
        <v>0.13595459267377441</v>
      </c>
      <c r="M27" s="18">
        <v>6.7643313726620832E-4</v>
      </c>
      <c r="N27" s="18">
        <v>0.20945488488675798</v>
      </c>
      <c r="O27" s="18">
        <v>8.6574254346334631E-2</v>
      </c>
      <c r="P27" s="18">
        <v>0.14040139907954802</v>
      </c>
      <c r="R27" s="16">
        <f t="shared" si="0"/>
        <v>0.15641656502520307</v>
      </c>
      <c r="S27" s="16">
        <f t="shared" si="1"/>
        <v>6.5020199367479561E-2</v>
      </c>
      <c r="T27" s="16">
        <f t="shared" si="2"/>
        <v>0.14988647278984926</v>
      </c>
      <c r="U27" s="16">
        <f t="shared" si="3"/>
        <v>-9.1396365657723508E-2</v>
      </c>
      <c r="V27" s="16">
        <f t="shared" si="4"/>
        <v>-6.5300922353538071E-3</v>
      </c>
      <c r="W27" s="16">
        <f t="shared" si="5"/>
        <v>8.4866273422369701E-2</v>
      </c>
      <c r="X27" s="16"/>
      <c r="Y27" s="16">
        <f t="shared" si="6"/>
        <v>0.18685206852106268</v>
      </c>
      <c r="Z27" s="16">
        <f t="shared" si="7"/>
        <v>7.7558270034245813E-2</v>
      </c>
      <c r="AA27" s="16">
        <f t="shared" si="8"/>
        <v>0.13112507363812992</v>
      </c>
      <c r="AB27" s="16">
        <f t="shared" si="9"/>
        <v>-0.10929379848681686</v>
      </c>
      <c r="AC27" s="16">
        <f t="shared" si="10"/>
        <v>-5.5726994882932757E-2</v>
      </c>
      <c r="AD27" s="16">
        <f t="shared" si="11"/>
        <v>5.3566803603884106E-2</v>
      </c>
      <c r="AE27" s="16"/>
      <c r="AF27" s="16">
        <f t="shared" si="12"/>
        <v>0.20877845174949178</v>
      </c>
      <c r="AG27" s="16">
        <f t="shared" si="13"/>
        <v>8.5897821209068428E-2</v>
      </c>
      <c r="AH27" s="16">
        <f t="shared" si="14"/>
        <v>0.13972496594228181</v>
      </c>
      <c r="AI27" s="16">
        <f t="shared" si="15"/>
        <v>-0.12288063054042335</v>
      </c>
      <c r="AJ27" s="16">
        <f t="shared" si="16"/>
        <v>-6.9053485807209963E-2</v>
      </c>
      <c r="AK27" s="16">
        <f t="shared" si="17"/>
        <v>5.3827144733213386E-2</v>
      </c>
    </row>
    <row r="28" spans="2:37" x14ac:dyDescent="0.25">
      <c r="B28" s="1">
        <v>20</v>
      </c>
      <c r="C28" s="1">
        <v>15</v>
      </c>
      <c r="D28" s="1">
        <v>30</v>
      </c>
      <c r="E28" s="18">
        <v>0</v>
      </c>
      <c r="F28" s="18">
        <v>0.22404839979952521</v>
      </c>
      <c r="G28" s="18">
        <v>0.17395178042792758</v>
      </c>
      <c r="H28" s="18">
        <v>0.20087549630717577</v>
      </c>
      <c r="I28" s="18">
        <v>0</v>
      </c>
      <c r="J28" s="18">
        <v>0.25618899911801318</v>
      </c>
      <c r="K28" s="18">
        <v>0.14107783113323485</v>
      </c>
      <c r="L28" s="18">
        <v>0.17959531170168003</v>
      </c>
      <c r="M28" s="18">
        <v>0</v>
      </c>
      <c r="N28" s="18">
        <v>0.1096616275059876</v>
      </c>
      <c r="O28" s="18">
        <v>0.14470603969522494</v>
      </c>
      <c r="P28" s="18">
        <v>0.20159899620585436</v>
      </c>
      <c r="R28" s="16">
        <f t="shared" si="0"/>
        <v>0.22404839979952521</v>
      </c>
      <c r="S28" s="16">
        <f t="shared" si="1"/>
        <v>0.17395178042792758</v>
      </c>
      <c r="T28" s="16">
        <f t="shared" si="2"/>
        <v>0.20087549630717577</v>
      </c>
      <c r="U28" s="16">
        <f t="shared" si="3"/>
        <v>-5.0096619371597623E-2</v>
      </c>
      <c r="V28" s="16">
        <f t="shared" si="4"/>
        <v>-2.3172903492349434E-2</v>
      </c>
      <c r="W28" s="16">
        <f t="shared" si="5"/>
        <v>2.6923715879248189E-2</v>
      </c>
      <c r="X28" s="16"/>
      <c r="Y28" s="16">
        <f t="shared" si="6"/>
        <v>0.25618899911801318</v>
      </c>
      <c r="Z28" s="16">
        <f t="shared" si="7"/>
        <v>0.14107783113323485</v>
      </c>
      <c r="AA28" s="16">
        <f t="shared" si="8"/>
        <v>0.17959531170168003</v>
      </c>
      <c r="AB28" s="16">
        <f t="shared" si="9"/>
        <v>-0.11511116798477833</v>
      </c>
      <c r="AC28" s="16">
        <f t="shared" si="10"/>
        <v>-7.6593687416333156E-2</v>
      </c>
      <c r="AD28" s="16">
        <f t="shared" si="11"/>
        <v>3.8517480568445173E-2</v>
      </c>
      <c r="AE28" s="16"/>
      <c r="AF28" s="16">
        <f t="shared" si="12"/>
        <v>0.1096616275059876</v>
      </c>
      <c r="AG28" s="16">
        <f t="shared" si="13"/>
        <v>0.14470603969522494</v>
      </c>
      <c r="AH28" s="16">
        <f t="shared" si="14"/>
        <v>0.20159899620585436</v>
      </c>
      <c r="AI28" s="16">
        <f t="shared" si="15"/>
        <v>3.5044412189237345E-2</v>
      </c>
      <c r="AJ28" s="16">
        <f t="shared" si="16"/>
        <v>9.1937368699866767E-2</v>
      </c>
      <c r="AK28" s="16">
        <f t="shared" si="17"/>
        <v>5.6892956510629422E-2</v>
      </c>
    </row>
    <row r="29" spans="2:37" x14ac:dyDescent="0.25">
      <c r="B29" s="1">
        <v>20</v>
      </c>
      <c r="C29" s="1">
        <v>15</v>
      </c>
      <c r="D29" s="1">
        <v>40</v>
      </c>
      <c r="E29" s="18">
        <v>3.9025905116505083E-2</v>
      </c>
      <c r="F29" s="18">
        <v>0.25031374794468603</v>
      </c>
      <c r="G29" s="18">
        <v>0.15830860452721404</v>
      </c>
      <c r="H29" s="18">
        <v>0.19315343926214384</v>
      </c>
      <c r="I29" s="18">
        <v>2.9476411103739292E-3</v>
      </c>
      <c r="J29" s="18">
        <v>0.2140413702012974</v>
      </c>
      <c r="K29" s="18">
        <v>0.11193443465703186</v>
      </c>
      <c r="L29" s="18">
        <v>0.16542971925152333</v>
      </c>
      <c r="M29" s="18">
        <v>8.1735572557142496E-4</v>
      </c>
      <c r="N29" s="18">
        <v>0.20369158592136674</v>
      </c>
      <c r="O29" s="18">
        <v>8.934636051855642E-2</v>
      </c>
      <c r="P29" s="18">
        <v>0.17808790015610659</v>
      </c>
      <c r="R29" s="16">
        <f t="shared" si="0"/>
        <v>0.21128784282818094</v>
      </c>
      <c r="S29" s="16">
        <f t="shared" si="1"/>
        <v>0.11928269941070896</v>
      </c>
      <c r="T29" s="16">
        <f t="shared" si="2"/>
        <v>0.15412753414563876</v>
      </c>
      <c r="U29" s="16">
        <f t="shared" si="3"/>
        <v>-9.2005143417471985E-2</v>
      </c>
      <c r="V29" s="16">
        <f t="shared" si="4"/>
        <v>-5.7160308682542182E-2</v>
      </c>
      <c r="W29" s="16">
        <f t="shared" si="5"/>
        <v>3.4844834734929803E-2</v>
      </c>
      <c r="X29" s="16"/>
      <c r="Y29" s="16">
        <f t="shared" si="6"/>
        <v>0.21109372909092347</v>
      </c>
      <c r="Z29" s="16">
        <f t="shared" si="7"/>
        <v>0.10898679354665793</v>
      </c>
      <c r="AA29" s="16">
        <f t="shared" si="8"/>
        <v>0.1624820781411494</v>
      </c>
      <c r="AB29" s="16">
        <f t="shared" si="9"/>
        <v>-0.10210693554426555</v>
      </c>
      <c r="AC29" s="16">
        <f t="shared" si="10"/>
        <v>-4.8611650949774071E-2</v>
      </c>
      <c r="AD29" s="16">
        <f t="shared" si="11"/>
        <v>5.3495284594491474E-2</v>
      </c>
      <c r="AE29" s="16"/>
      <c r="AF29" s="16">
        <f t="shared" si="12"/>
        <v>0.20287423019579531</v>
      </c>
      <c r="AG29" s="16">
        <f t="shared" si="13"/>
        <v>8.8529004792984992E-2</v>
      </c>
      <c r="AH29" s="16">
        <f t="shared" si="14"/>
        <v>0.17727054443053517</v>
      </c>
      <c r="AI29" s="16">
        <f t="shared" si="15"/>
        <v>-0.11434522540281032</v>
      </c>
      <c r="AJ29" s="16">
        <f t="shared" si="16"/>
        <v>-2.5603685765260148E-2</v>
      </c>
      <c r="AK29" s="16">
        <f t="shared" si="17"/>
        <v>8.8741539637550174E-2</v>
      </c>
    </row>
    <row r="30" spans="2:37" x14ac:dyDescent="0.25">
      <c r="B30" s="1">
        <v>20</v>
      </c>
      <c r="C30" s="1">
        <v>15</v>
      </c>
      <c r="D30" s="1">
        <v>50</v>
      </c>
      <c r="E30" s="18">
        <v>6.5844230601733765E-3</v>
      </c>
      <c r="F30" s="18">
        <v>0.2101051868743041</v>
      </c>
      <c r="G30" s="18">
        <v>0.10586442873475235</v>
      </c>
      <c r="H30" s="18">
        <v>0.20939368361278418</v>
      </c>
      <c r="I30" s="18">
        <v>7.9200917056657279E-3</v>
      </c>
      <c r="J30" s="18">
        <v>0.13581211485032507</v>
      </c>
      <c r="K30" s="18">
        <v>9.2228636431707894E-2</v>
      </c>
      <c r="L30" s="18">
        <v>0.13213508592513765</v>
      </c>
      <c r="M30" s="18">
        <v>4.4641059100371345E-3</v>
      </c>
      <c r="N30" s="18">
        <v>0.18754763063669966</v>
      </c>
      <c r="O30" s="18">
        <v>8.8653567254243032E-2</v>
      </c>
      <c r="P30" s="18">
        <v>0.14494915913598544</v>
      </c>
      <c r="R30" s="16">
        <f t="shared" si="0"/>
        <v>0.20352076381413073</v>
      </c>
      <c r="S30" s="16">
        <f t="shared" si="1"/>
        <v>9.9280005674578981E-2</v>
      </c>
      <c r="T30" s="16">
        <f t="shared" si="2"/>
        <v>0.20280926055261081</v>
      </c>
      <c r="U30" s="16">
        <f t="shared" si="3"/>
        <v>-0.10424075813955175</v>
      </c>
      <c r="V30" s="16">
        <f t="shared" si="4"/>
        <v>-7.1150326151991905E-4</v>
      </c>
      <c r="W30" s="16">
        <f t="shared" si="5"/>
        <v>0.10352925487803183</v>
      </c>
      <c r="X30" s="16"/>
      <c r="Y30" s="16">
        <f t="shared" si="6"/>
        <v>0.12789202314465933</v>
      </c>
      <c r="Z30" s="16">
        <f t="shared" si="7"/>
        <v>8.430854472604217E-2</v>
      </c>
      <c r="AA30" s="16">
        <f t="shared" si="8"/>
        <v>0.12421499421947192</v>
      </c>
      <c r="AB30" s="16">
        <f t="shared" si="9"/>
        <v>-4.3583478418617178E-2</v>
      </c>
      <c r="AC30" s="16">
        <f t="shared" si="10"/>
        <v>-3.6770289251874255E-3</v>
      </c>
      <c r="AD30" s="16">
        <f t="shared" si="11"/>
        <v>3.9906449493429752E-2</v>
      </c>
      <c r="AE30" s="16"/>
      <c r="AF30" s="16">
        <f t="shared" si="12"/>
        <v>0.18308352472666253</v>
      </c>
      <c r="AG30" s="16">
        <f t="shared" si="13"/>
        <v>8.4189461344205893E-2</v>
      </c>
      <c r="AH30" s="16">
        <f t="shared" si="14"/>
        <v>0.14048505322594831</v>
      </c>
      <c r="AI30" s="16">
        <f t="shared" si="15"/>
        <v>-9.8894063382456626E-2</v>
      </c>
      <c r="AJ30" s="16">
        <f t="shared" si="16"/>
        <v>-4.2598471500714219E-2</v>
      </c>
      <c r="AK30" s="16">
        <f t="shared" si="17"/>
        <v>5.6295591881742407E-2</v>
      </c>
    </row>
    <row r="31" spans="2:37" x14ac:dyDescent="0.25">
      <c r="B31" s="28" t="s">
        <v>27</v>
      </c>
      <c r="C31" s="28"/>
      <c r="D31" s="28"/>
      <c r="E31" s="17">
        <f>AVERAGE(E4:E30)</f>
        <v>3.8160947351420249E-3</v>
      </c>
      <c r="F31" s="17">
        <f t="shared" ref="F31:P31" si="18">AVERAGE(F4:F30)</f>
        <v>0.19979670631580101</v>
      </c>
      <c r="G31" s="17">
        <f t="shared" si="18"/>
        <v>8.7995120196389623E-2</v>
      </c>
      <c r="H31" s="17">
        <f t="shared" si="18"/>
        <v>0.17311303332358921</v>
      </c>
      <c r="I31" s="17">
        <f t="shared" si="18"/>
        <v>5.6854524094828362E-3</v>
      </c>
      <c r="J31" s="17">
        <f t="shared" si="18"/>
        <v>0.18613009091924629</v>
      </c>
      <c r="K31" s="17">
        <f t="shared" si="18"/>
        <v>0.10388446063787489</v>
      </c>
      <c r="L31" s="17">
        <f t="shared" si="18"/>
        <v>0.16987874402008682</v>
      </c>
      <c r="M31" s="17">
        <f t="shared" si="18"/>
        <v>4.5575123168672248E-3</v>
      </c>
      <c r="N31" s="17">
        <f t="shared" si="18"/>
        <v>0.17574643192247752</v>
      </c>
      <c r="O31" s="17">
        <f t="shared" si="18"/>
        <v>8.7198531519786834E-2</v>
      </c>
      <c r="P31" s="17">
        <f t="shared" si="18"/>
        <v>0.16266232365591954</v>
      </c>
    </row>
    <row r="33" spans="18:32" x14ac:dyDescent="0.25">
      <c r="R33" s="16">
        <v>-1</v>
      </c>
      <c r="S33" s="16"/>
      <c r="T33" s="16"/>
      <c r="U33" s="16"/>
      <c r="V33" s="16"/>
      <c r="W33" s="16"/>
      <c r="Y33" s="16">
        <v>-1</v>
      </c>
      <c r="AF33" s="16">
        <v>-1</v>
      </c>
    </row>
  </sheetData>
  <mergeCells count="7">
    <mergeCell ref="Y2:AD2"/>
    <mergeCell ref="AF2:AK2"/>
    <mergeCell ref="B31:D31"/>
    <mergeCell ref="E2:H2"/>
    <mergeCell ref="I2:L2"/>
    <mergeCell ref="M2:P2"/>
    <mergeCell ref="R2: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5FCD-556B-4AE4-8A86-7C70D18123DE}">
  <dimension ref="C2:U42"/>
  <sheetViews>
    <sheetView topLeftCell="B20" zoomScale="115" zoomScaleNormal="115" workbookViewId="0">
      <selection activeCell="P42" sqref="P42"/>
    </sheetView>
  </sheetViews>
  <sheetFormatPr defaultRowHeight="15.75" x14ac:dyDescent="0.25"/>
  <cols>
    <col min="1" max="2" width="9.140625" style="1"/>
    <col min="3" max="3" width="13.7109375" style="1" bestFit="1" customWidth="1"/>
    <col min="4" max="4" width="3.7109375" style="1" bestFit="1" customWidth="1"/>
    <col min="5" max="5" width="11.42578125" style="1" bestFit="1" customWidth="1"/>
    <col min="6" max="6" width="10.7109375" style="1" bestFit="1" customWidth="1"/>
    <col min="7" max="7" width="12.140625" style="1" bestFit="1" customWidth="1"/>
    <col min="8" max="8" width="9.42578125" style="1" bestFit="1" customWidth="1"/>
    <col min="9" max="9" width="25.140625" style="1" bestFit="1" customWidth="1"/>
    <col min="10" max="10" width="13.7109375" style="1" bestFit="1" customWidth="1"/>
    <col min="11" max="11" width="3.7109375" style="1" bestFit="1" customWidth="1"/>
    <col min="12" max="12" width="11.42578125" style="1" bestFit="1" customWidth="1"/>
    <col min="13" max="13" width="10.7109375" style="1" bestFit="1" customWidth="1"/>
    <col min="14" max="14" width="12.140625" style="1" bestFit="1" customWidth="1"/>
    <col min="15" max="15" width="9.42578125" style="1" bestFit="1" customWidth="1"/>
    <col min="16" max="16" width="25.140625" style="1" bestFit="1" customWidth="1"/>
    <col min="17" max="16384" width="9.140625" style="1"/>
  </cols>
  <sheetData>
    <row r="2" spans="3:21" ht="24.95" customHeight="1" x14ac:dyDescent="0.25">
      <c r="C2" s="32" t="s">
        <v>28</v>
      </c>
      <c r="D2" s="32"/>
      <c r="E2" s="32"/>
      <c r="F2" s="32"/>
      <c r="G2" s="32"/>
      <c r="H2" s="32"/>
      <c r="I2" s="32"/>
      <c r="J2" s="32" t="s">
        <v>29</v>
      </c>
      <c r="K2" s="32"/>
      <c r="L2" s="32"/>
      <c r="M2" s="32"/>
      <c r="N2" s="32"/>
      <c r="O2" s="32"/>
      <c r="P2" s="32"/>
    </row>
    <row r="3" spans="3:21" ht="35.25" customHeight="1" x14ac:dyDescent="0.25">
      <c r="C3" s="2" t="s">
        <v>0</v>
      </c>
      <c r="D3" s="2" t="s">
        <v>1</v>
      </c>
      <c r="E3" s="2" t="s">
        <v>2</v>
      </c>
      <c r="F3" s="3" t="s">
        <v>3</v>
      </c>
      <c r="G3" s="3" t="s">
        <v>4</v>
      </c>
      <c r="H3" s="2" t="s">
        <v>16</v>
      </c>
      <c r="I3" s="2" t="s">
        <v>11</v>
      </c>
      <c r="J3" s="2" t="s">
        <v>0</v>
      </c>
      <c r="K3" s="2" t="s">
        <v>1</v>
      </c>
      <c r="L3" s="2" t="s">
        <v>2</v>
      </c>
      <c r="M3" s="3" t="s">
        <v>3</v>
      </c>
      <c r="N3" s="3" t="s">
        <v>4</v>
      </c>
      <c r="O3" s="2" t="s">
        <v>16</v>
      </c>
      <c r="P3" s="2" t="s">
        <v>11</v>
      </c>
    </row>
    <row r="4" spans="3:21" x14ac:dyDescent="0.25">
      <c r="C4" s="1" t="s">
        <v>5</v>
      </c>
      <c r="D4" s="1">
        <v>5</v>
      </c>
      <c r="E4" s="1">
        <v>27</v>
      </c>
      <c r="F4" s="1">
        <v>378</v>
      </c>
      <c r="G4" s="1">
        <v>0.78180899999999998</v>
      </c>
      <c r="H4" s="1">
        <v>0</v>
      </c>
      <c r="I4" s="1" t="s">
        <v>13</v>
      </c>
      <c r="J4" s="1" t="s">
        <v>5</v>
      </c>
      <c r="K4" s="1">
        <v>5</v>
      </c>
      <c r="L4" s="1">
        <v>27</v>
      </c>
      <c r="M4" s="1">
        <v>378</v>
      </c>
      <c r="N4" s="1">
        <v>0.35829899999999998</v>
      </c>
      <c r="O4" s="1">
        <v>0</v>
      </c>
      <c r="P4" s="1" t="s">
        <v>13</v>
      </c>
      <c r="Q4" s="2" t="s">
        <v>28</v>
      </c>
    </row>
    <row r="5" spans="3:21" x14ac:dyDescent="0.25">
      <c r="C5" s="1" t="s">
        <v>6</v>
      </c>
      <c r="D5" s="1">
        <v>5</v>
      </c>
      <c r="E5" s="1">
        <v>27</v>
      </c>
      <c r="F5" s="1">
        <v>378</v>
      </c>
      <c r="G5" s="1">
        <v>0.527254</v>
      </c>
      <c r="H5" s="1">
        <v>0</v>
      </c>
      <c r="I5" s="1" t="s">
        <v>14</v>
      </c>
      <c r="J5" s="1" t="s">
        <v>6</v>
      </c>
      <c r="K5" s="1">
        <v>5</v>
      </c>
      <c r="L5" s="1">
        <v>27</v>
      </c>
      <c r="M5" s="1">
        <v>378</v>
      </c>
      <c r="N5" s="1">
        <v>0.28335399999999999</v>
      </c>
      <c r="O5" s="1">
        <v>0</v>
      </c>
      <c r="P5" s="1" t="s">
        <v>14</v>
      </c>
      <c r="R5" s="2" t="s">
        <v>23</v>
      </c>
      <c r="S5" s="2" t="s">
        <v>24</v>
      </c>
      <c r="T5" s="2" t="s">
        <v>25</v>
      </c>
      <c r="U5" s="2" t="s">
        <v>26</v>
      </c>
    </row>
    <row r="6" spans="3:21" x14ac:dyDescent="0.25">
      <c r="C6" s="1" t="s">
        <v>7</v>
      </c>
      <c r="D6" s="1">
        <v>5</v>
      </c>
      <c r="E6" s="1">
        <v>27</v>
      </c>
      <c r="F6" s="1">
        <v>378</v>
      </c>
      <c r="G6" s="1">
        <v>0.82294500000000004</v>
      </c>
      <c r="H6" s="1">
        <v>0</v>
      </c>
      <c r="I6" s="1" t="s">
        <v>15</v>
      </c>
      <c r="J6" s="1" t="s">
        <v>7</v>
      </c>
      <c r="K6" s="1">
        <v>5</v>
      </c>
      <c r="L6" s="1">
        <v>27</v>
      </c>
      <c r="M6" s="1">
        <v>378</v>
      </c>
      <c r="N6" s="1">
        <v>0.41271000000000002</v>
      </c>
      <c r="O6" s="1">
        <v>0</v>
      </c>
      <c r="P6" s="1" t="s">
        <v>15</v>
      </c>
      <c r="Q6" s="2" t="s">
        <v>23</v>
      </c>
      <c r="R6" s="1" t="s">
        <v>31</v>
      </c>
      <c r="S6" s="1">
        <v>0</v>
      </c>
      <c r="T6" s="1">
        <v>0</v>
      </c>
      <c r="U6" s="1">
        <v>0</v>
      </c>
    </row>
    <row r="7" spans="3:21" x14ac:dyDescent="0.25">
      <c r="C7" s="1" t="s">
        <v>8</v>
      </c>
      <c r="D7" s="1">
        <v>5</v>
      </c>
      <c r="E7" s="1">
        <v>27</v>
      </c>
      <c r="F7" s="1">
        <v>0</v>
      </c>
      <c r="G7" s="1">
        <v>-0.24768499999999999</v>
      </c>
      <c r="H7" s="1">
        <v>0</v>
      </c>
      <c r="I7" s="1" t="s">
        <v>13</v>
      </c>
      <c r="J7" s="1" t="s">
        <v>8</v>
      </c>
      <c r="K7" s="1">
        <v>5</v>
      </c>
      <c r="L7" s="1">
        <v>27</v>
      </c>
      <c r="M7" s="1">
        <v>29</v>
      </c>
      <c r="N7" s="1">
        <v>-6.9136000000000003E-2</v>
      </c>
      <c r="O7" s="1">
        <v>0</v>
      </c>
      <c r="P7" s="1" t="s">
        <v>13</v>
      </c>
      <c r="Q7" s="2" t="s">
        <v>24</v>
      </c>
      <c r="R7" s="1">
        <v>3</v>
      </c>
      <c r="S7" s="1" t="s">
        <v>31</v>
      </c>
      <c r="T7" s="1">
        <v>3</v>
      </c>
      <c r="U7" s="1">
        <v>0</v>
      </c>
    </row>
    <row r="8" spans="3:21" x14ac:dyDescent="0.25">
      <c r="C8" s="1" t="s">
        <v>9</v>
      </c>
      <c r="D8" s="1">
        <v>5</v>
      </c>
      <c r="E8" s="1">
        <v>27</v>
      </c>
      <c r="F8" s="1">
        <v>294</v>
      </c>
      <c r="G8" s="1">
        <v>3.8253000000000002E-2</v>
      </c>
      <c r="H8" s="1">
        <v>1.2E-2</v>
      </c>
      <c r="I8" s="1" t="s">
        <v>15</v>
      </c>
      <c r="J8" s="1" t="s">
        <v>9</v>
      </c>
      <c r="K8" s="1">
        <v>5</v>
      </c>
      <c r="L8" s="1">
        <v>27</v>
      </c>
      <c r="M8" s="1">
        <v>335</v>
      </c>
      <c r="N8" s="1">
        <v>6.2269999999999999E-2</v>
      </c>
      <c r="O8" s="1">
        <v>0</v>
      </c>
      <c r="P8" s="1" t="s">
        <v>15</v>
      </c>
      <c r="Q8" s="2" t="s">
        <v>25</v>
      </c>
      <c r="R8" s="1">
        <v>3</v>
      </c>
      <c r="S8" s="1">
        <v>0</v>
      </c>
      <c r="T8" s="1" t="s">
        <v>31</v>
      </c>
      <c r="U8" s="1">
        <v>0</v>
      </c>
    </row>
    <row r="9" spans="3:21" x14ac:dyDescent="0.25">
      <c r="C9" s="1" t="s">
        <v>10</v>
      </c>
      <c r="D9" s="1">
        <v>5</v>
      </c>
      <c r="E9" s="1">
        <v>27</v>
      </c>
      <c r="F9" s="1">
        <v>378</v>
      </c>
      <c r="G9" s="1">
        <v>0.28926000000000002</v>
      </c>
      <c r="H9" s="1">
        <v>0</v>
      </c>
      <c r="I9" s="1" t="s">
        <v>15</v>
      </c>
      <c r="J9" s="1" t="s">
        <v>10</v>
      </c>
      <c r="K9" s="1">
        <v>5</v>
      </c>
      <c r="L9" s="1">
        <v>27</v>
      </c>
      <c r="M9" s="1">
        <v>378</v>
      </c>
      <c r="N9" s="1">
        <v>0.124639</v>
      </c>
      <c r="O9" s="1">
        <v>0</v>
      </c>
      <c r="P9" s="1" t="s">
        <v>15</v>
      </c>
      <c r="Q9" s="2" t="s">
        <v>26</v>
      </c>
      <c r="R9" s="1">
        <v>3</v>
      </c>
      <c r="S9" s="1">
        <v>3</v>
      </c>
      <c r="T9" s="1">
        <v>3</v>
      </c>
      <c r="U9" s="1" t="s">
        <v>31</v>
      </c>
    </row>
    <row r="10" spans="3:21" x14ac:dyDescent="0.25">
      <c r="C10" s="1" t="s">
        <v>5</v>
      </c>
      <c r="D10" s="1">
        <v>7</v>
      </c>
      <c r="E10" s="1">
        <v>27</v>
      </c>
      <c r="F10" s="1">
        <v>378</v>
      </c>
      <c r="G10" s="1">
        <v>0.80380300000000005</v>
      </c>
      <c r="H10" s="1">
        <v>0</v>
      </c>
      <c r="I10" s="1" t="s">
        <v>13</v>
      </c>
      <c r="J10" s="1" t="s">
        <v>5</v>
      </c>
      <c r="K10" s="1">
        <v>7</v>
      </c>
      <c r="L10" s="1">
        <v>27</v>
      </c>
      <c r="M10" s="1">
        <v>378</v>
      </c>
      <c r="N10" s="1">
        <v>0.39602300000000001</v>
      </c>
      <c r="O10" s="1">
        <v>0</v>
      </c>
      <c r="P10" s="1" t="s">
        <v>13</v>
      </c>
    </row>
    <row r="11" spans="3:21" x14ac:dyDescent="0.25">
      <c r="C11" s="1" t="s">
        <v>6</v>
      </c>
      <c r="D11" s="1">
        <v>7</v>
      </c>
      <c r="E11" s="1">
        <v>27</v>
      </c>
      <c r="F11" s="1">
        <v>378</v>
      </c>
      <c r="G11" s="1">
        <v>0.54167500000000002</v>
      </c>
      <c r="H11" s="1">
        <v>0</v>
      </c>
      <c r="I11" s="1" t="s">
        <v>14</v>
      </c>
      <c r="J11" s="1" t="s">
        <v>6</v>
      </c>
      <c r="K11" s="1">
        <v>7</v>
      </c>
      <c r="L11" s="1">
        <v>27</v>
      </c>
      <c r="M11" s="1">
        <v>378</v>
      </c>
      <c r="N11" s="1">
        <v>0.29185499999999998</v>
      </c>
      <c r="O11" s="1">
        <v>0</v>
      </c>
      <c r="P11" s="1" t="s">
        <v>14</v>
      </c>
    </row>
    <row r="12" spans="3:21" x14ac:dyDescent="0.25">
      <c r="C12" s="1" t="s">
        <v>7</v>
      </c>
      <c r="D12" s="1">
        <v>7</v>
      </c>
      <c r="E12" s="1">
        <v>27</v>
      </c>
      <c r="F12" s="1">
        <v>378</v>
      </c>
      <c r="G12" s="1">
        <v>0.84376799999999996</v>
      </c>
      <c r="H12" s="1">
        <v>0</v>
      </c>
      <c r="I12" s="1" t="s">
        <v>15</v>
      </c>
      <c r="J12" s="1" t="s">
        <v>7</v>
      </c>
      <c r="K12" s="1">
        <v>7</v>
      </c>
      <c r="L12" s="1">
        <v>27</v>
      </c>
      <c r="M12" s="1">
        <v>378</v>
      </c>
      <c r="N12" s="1">
        <v>0.44738600000000001</v>
      </c>
      <c r="O12" s="1">
        <v>0</v>
      </c>
      <c r="P12" s="1" t="s">
        <v>15</v>
      </c>
      <c r="Q12" s="2" t="s">
        <v>29</v>
      </c>
    </row>
    <row r="13" spans="3:21" x14ac:dyDescent="0.25">
      <c r="C13" s="1" t="s">
        <v>8</v>
      </c>
      <c r="D13" s="1">
        <v>7</v>
      </c>
      <c r="E13" s="1">
        <v>27</v>
      </c>
      <c r="F13" s="1">
        <v>0</v>
      </c>
      <c r="G13" s="1">
        <v>-0.26403799999999999</v>
      </c>
      <c r="H13" s="1">
        <v>0</v>
      </c>
      <c r="I13" s="1" t="s">
        <v>13</v>
      </c>
      <c r="J13" s="1" t="s">
        <v>8</v>
      </c>
      <c r="K13" s="1">
        <v>7</v>
      </c>
      <c r="L13" s="1">
        <v>27</v>
      </c>
      <c r="M13" s="1">
        <v>23</v>
      </c>
      <c r="N13" s="1">
        <v>-0.103752</v>
      </c>
      <c r="O13" s="1">
        <v>0</v>
      </c>
      <c r="P13" s="1" t="s">
        <v>13</v>
      </c>
      <c r="R13" s="2" t="s">
        <v>23</v>
      </c>
      <c r="S13" s="2" t="s">
        <v>24</v>
      </c>
      <c r="T13" s="2" t="s">
        <v>25</v>
      </c>
      <c r="U13" s="2" t="s">
        <v>26</v>
      </c>
    </row>
    <row r="14" spans="3:21" x14ac:dyDescent="0.25">
      <c r="C14" s="1" t="s">
        <v>9</v>
      </c>
      <c r="D14" s="1">
        <v>7</v>
      </c>
      <c r="E14" s="1">
        <v>27</v>
      </c>
      <c r="F14" s="1">
        <v>288</v>
      </c>
      <c r="G14" s="1">
        <v>3.1067999999999998E-2</v>
      </c>
      <c r="H14" s="1">
        <v>1.7999999999999999E-2</v>
      </c>
      <c r="I14" s="1" t="s">
        <v>15</v>
      </c>
      <c r="J14" s="1" t="s">
        <v>9</v>
      </c>
      <c r="K14" s="1">
        <v>7</v>
      </c>
      <c r="L14" s="1">
        <v>27</v>
      </c>
      <c r="M14" s="1">
        <v>303</v>
      </c>
      <c r="N14" s="1">
        <v>5.1707000000000003E-2</v>
      </c>
      <c r="O14" s="1">
        <v>6.0000000000000001E-3</v>
      </c>
      <c r="P14" s="1" t="s">
        <v>15</v>
      </c>
      <c r="Q14" s="2" t="s">
        <v>23</v>
      </c>
      <c r="R14" s="1" t="s">
        <v>31</v>
      </c>
      <c r="S14" s="1">
        <v>0</v>
      </c>
      <c r="T14" s="1">
        <v>0</v>
      </c>
      <c r="U14" s="1">
        <v>0</v>
      </c>
    </row>
    <row r="15" spans="3:21" x14ac:dyDescent="0.25">
      <c r="C15" s="1" t="s">
        <v>10</v>
      </c>
      <c r="D15" s="1">
        <v>7</v>
      </c>
      <c r="E15" s="1">
        <v>27</v>
      </c>
      <c r="F15" s="1">
        <v>378</v>
      </c>
      <c r="G15" s="1">
        <v>0.30630099999999999</v>
      </c>
      <c r="H15" s="1">
        <v>0</v>
      </c>
      <c r="I15" s="1" t="s">
        <v>15</v>
      </c>
      <c r="J15" s="1" t="s">
        <v>10</v>
      </c>
      <c r="K15" s="1">
        <v>7</v>
      </c>
      <c r="L15" s="1">
        <v>27</v>
      </c>
      <c r="M15" s="1">
        <v>378</v>
      </c>
      <c r="N15" s="1">
        <v>0.17055200000000001</v>
      </c>
      <c r="O15" s="1">
        <v>0</v>
      </c>
      <c r="P15" s="1" t="s">
        <v>15</v>
      </c>
      <c r="Q15" s="2" t="s">
        <v>24</v>
      </c>
      <c r="R15" s="1">
        <v>3</v>
      </c>
      <c r="S15" s="1" t="s">
        <v>31</v>
      </c>
      <c r="T15" s="1">
        <v>3</v>
      </c>
      <c r="U15" s="1">
        <v>0</v>
      </c>
    </row>
    <row r="16" spans="3:21" x14ac:dyDescent="0.25">
      <c r="C16" s="1" t="s">
        <v>5</v>
      </c>
      <c r="D16" s="1">
        <v>9</v>
      </c>
      <c r="E16" s="1">
        <v>27</v>
      </c>
      <c r="F16" s="1">
        <v>378</v>
      </c>
      <c r="G16" s="1">
        <v>0.78851400000000005</v>
      </c>
      <c r="H16" s="1">
        <v>0</v>
      </c>
      <c r="I16" s="1" t="s">
        <v>13</v>
      </c>
      <c r="J16" s="1" t="s">
        <v>5</v>
      </c>
      <c r="K16" s="1">
        <v>9</v>
      </c>
      <c r="L16" s="1">
        <v>27</v>
      </c>
      <c r="M16" s="1">
        <v>378</v>
      </c>
      <c r="N16" s="1">
        <v>0.38242799999999999</v>
      </c>
      <c r="O16" s="1">
        <v>0</v>
      </c>
      <c r="P16" s="1" t="s">
        <v>13</v>
      </c>
      <c r="Q16" s="2" t="s">
        <v>25</v>
      </c>
      <c r="R16" s="1">
        <v>3</v>
      </c>
      <c r="S16" s="1">
        <v>0</v>
      </c>
      <c r="T16" s="1" t="s">
        <v>31</v>
      </c>
      <c r="U16" s="1">
        <v>0</v>
      </c>
    </row>
    <row r="17" spans="3:21" x14ac:dyDescent="0.25">
      <c r="C17" s="1" t="s">
        <v>6</v>
      </c>
      <c r="D17" s="1">
        <v>9</v>
      </c>
      <c r="E17" s="1">
        <v>27</v>
      </c>
      <c r="F17" s="1">
        <v>378</v>
      </c>
      <c r="G17" s="1">
        <v>0.53930900000000004</v>
      </c>
      <c r="H17" s="1">
        <v>0</v>
      </c>
      <c r="I17" s="1" t="s">
        <v>14</v>
      </c>
      <c r="J17" s="1" t="s">
        <v>6</v>
      </c>
      <c r="K17" s="1">
        <v>9</v>
      </c>
      <c r="L17" s="1">
        <v>27</v>
      </c>
      <c r="M17" s="1">
        <v>378</v>
      </c>
      <c r="N17" s="1">
        <v>0.31789000000000001</v>
      </c>
      <c r="O17" s="1">
        <v>0</v>
      </c>
      <c r="P17" s="1" t="s">
        <v>14</v>
      </c>
      <c r="Q17" s="2" t="s">
        <v>26</v>
      </c>
      <c r="R17" s="1">
        <v>3</v>
      </c>
      <c r="S17" s="1">
        <v>3</v>
      </c>
      <c r="T17" s="1">
        <v>3</v>
      </c>
      <c r="U17" s="1" t="s">
        <v>31</v>
      </c>
    </row>
    <row r="18" spans="3:21" x14ac:dyDescent="0.25">
      <c r="C18" s="1" t="s">
        <v>7</v>
      </c>
      <c r="D18" s="1">
        <v>9</v>
      </c>
      <c r="E18" s="1">
        <v>27</v>
      </c>
      <c r="F18" s="1">
        <v>378</v>
      </c>
      <c r="G18" s="1">
        <v>0.84565299999999999</v>
      </c>
      <c r="H18" s="1">
        <v>0</v>
      </c>
      <c r="I18" s="1" t="s">
        <v>15</v>
      </c>
      <c r="J18" s="1" t="s">
        <v>7</v>
      </c>
      <c r="K18" s="1">
        <v>9</v>
      </c>
      <c r="L18" s="1">
        <v>27</v>
      </c>
      <c r="M18" s="1">
        <v>378</v>
      </c>
      <c r="N18" s="1">
        <v>0.47274899999999997</v>
      </c>
      <c r="O18" s="1">
        <v>0</v>
      </c>
      <c r="P18" s="1" t="s">
        <v>15</v>
      </c>
    </row>
    <row r="19" spans="3:21" x14ac:dyDescent="0.25">
      <c r="C19" s="1" t="s">
        <v>8</v>
      </c>
      <c r="D19" s="1">
        <v>9</v>
      </c>
      <c r="E19" s="1">
        <v>27</v>
      </c>
      <c r="F19" s="1">
        <v>0</v>
      </c>
      <c r="G19" s="1">
        <v>-0.24235999999999999</v>
      </c>
      <c r="H19" s="1">
        <v>0</v>
      </c>
      <c r="I19" s="1" t="s">
        <v>13</v>
      </c>
      <c r="J19" s="1" t="s">
        <v>8</v>
      </c>
      <c r="K19" s="1">
        <v>9</v>
      </c>
      <c r="L19" s="1">
        <v>27</v>
      </c>
      <c r="M19" s="1">
        <v>63</v>
      </c>
      <c r="N19" s="1">
        <v>-7.5287000000000007E-2</v>
      </c>
      <c r="O19" s="1">
        <v>3.0000000000000001E-3</v>
      </c>
      <c r="P19" s="1" t="s">
        <v>13</v>
      </c>
    </row>
    <row r="20" spans="3:21" x14ac:dyDescent="0.25">
      <c r="C20" s="1" t="s">
        <v>9</v>
      </c>
      <c r="D20" s="1">
        <v>9</v>
      </c>
      <c r="E20" s="1">
        <v>27</v>
      </c>
      <c r="F20" s="1">
        <v>309</v>
      </c>
      <c r="G20" s="1">
        <v>5.5885999999999998E-2</v>
      </c>
      <c r="H20" s="1">
        <v>4.0000000000000001E-3</v>
      </c>
      <c r="I20" s="1" t="s">
        <v>15</v>
      </c>
      <c r="J20" s="1" t="s">
        <v>9</v>
      </c>
      <c r="K20" s="1">
        <v>9</v>
      </c>
      <c r="L20" s="1">
        <v>27</v>
      </c>
      <c r="M20" s="1">
        <v>350</v>
      </c>
      <c r="N20" s="1">
        <v>9.1843999999999995E-2</v>
      </c>
      <c r="O20" s="1">
        <v>0</v>
      </c>
      <c r="P20" s="1" t="s">
        <v>15</v>
      </c>
    </row>
    <row r="21" spans="3:21" x14ac:dyDescent="0.25">
      <c r="C21" s="1" t="s">
        <v>10</v>
      </c>
      <c r="D21" s="1">
        <v>9</v>
      </c>
      <c r="E21" s="1">
        <v>27</v>
      </c>
      <c r="F21" s="1">
        <v>378</v>
      </c>
      <c r="G21" s="1">
        <v>0.30025000000000002</v>
      </c>
      <c r="H21" s="1">
        <v>0</v>
      </c>
      <c r="I21" s="1" t="s">
        <v>15</v>
      </c>
      <c r="J21" s="1" t="s">
        <v>10</v>
      </c>
      <c r="K21" s="1">
        <v>9</v>
      </c>
      <c r="L21" s="1">
        <v>27</v>
      </c>
      <c r="M21" s="1">
        <v>377</v>
      </c>
      <c r="N21" s="1">
        <v>0.16662199999999999</v>
      </c>
      <c r="O21" s="1">
        <v>0</v>
      </c>
      <c r="P21" s="1" t="s">
        <v>15</v>
      </c>
    </row>
    <row r="22" spans="3:21" ht="24.95" customHeight="1" x14ac:dyDescent="0.25">
      <c r="C22" s="32" t="s">
        <v>33</v>
      </c>
      <c r="D22" s="32"/>
      <c r="E22" s="32"/>
      <c r="F22" s="32"/>
      <c r="G22" s="32"/>
      <c r="H22" s="32"/>
      <c r="I22" s="32"/>
      <c r="J22" s="32" t="s">
        <v>30</v>
      </c>
      <c r="K22" s="32"/>
      <c r="L22" s="32"/>
      <c r="M22" s="32"/>
      <c r="N22" s="32"/>
      <c r="O22" s="32"/>
      <c r="P22" s="32"/>
    </row>
    <row r="23" spans="3:21" ht="31.5" x14ac:dyDescent="0.25">
      <c r="C23" s="2" t="s">
        <v>0</v>
      </c>
      <c r="D23" s="2" t="s">
        <v>1</v>
      </c>
      <c r="E23" s="2" t="s">
        <v>2</v>
      </c>
      <c r="F23" s="3" t="s">
        <v>3</v>
      </c>
      <c r="G23" s="3" t="s">
        <v>4</v>
      </c>
      <c r="H23" s="2" t="s">
        <v>16</v>
      </c>
      <c r="I23" s="2" t="s">
        <v>11</v>
      </c>
      <c r="J23" s="2" t="s">
        <v>0</v>
      </c>
      <c r="K23" s="2" t="s">
        <v>1</v>
      </c>
      <c r="L23" s="2" t="s">
        <v>2</v>
      </c>
      <c r="M23" s="3" t="s">
        <v>3</v>
      </c>
      <c r="N23" s="3" t="s">
        <v>4</v>
      </c>
      <c r="O23" s="2" t="s">
        <v>16</v>
      </c>
      <c r="P23" s="2" t="s">
        <v>11</v>
      </c>
    </row>
    <row r="24" spans="3:21" x14ac:dyDescent="0.25">
      <c r="C24" s="1" t="s">
        <v>5</v>
      </c>
      <c r="D24" s="1">
        <v>5</v>
      </c>
      <c r="E24" s="1">
        <v>27</v>
      </c>
      <c r="F24" s="1">
        <v>0</v>
      </c>
      <c r="G24" s="1">
        <v>-6.1008E-2</v>
      </c>
      <c r="H24" s="1">
        <v>0</v>
      </c>
      <c r="I24" s="1" t="s">
        <v>13</v>
      </c>
      <c r="J24" s="1" t="s">
        <v>5</v>
      </c>
      <c r="K24" s="1">
        <v>5</v>
      </c>
      <c r="L24" s="1">
        <v>27</v>
      </c>
      <c r="M24" s="1">
        <v>378</v>
      </c>
      <c r="N24" s="1">
        <v>0.18806100000000001</v>
      </c>
      <c r="O24" s="1">
        <v>0</v>
      </c>
      <c r="P24" s="1" t="s">
        <v>13</v>
      </c>
      <c r="Q24" s="2" t="s">
        <v>33</v>
      </c>
    </row>
    <row r="25" spans="3:21" x14ac:dyDescent="0.25">
      <c r="C25" s="1" t="s">
        <v>6</v>
      </c>
      <c r="D25" s="1">
        <v>5</v>
      </c>
      <c r="E25" s="1">
        <v>27</v>
      </c>
      <c r="F25" s="1">
        <v>0</v>
      </c>
      <c r="G25" s="1">
        <v>-0.11543399999999999</v>
      </c>
      <c r="H25" s="1">
        <v>0</v>
      </c>
      <c r="I25" s="1" t="s">
        <v>14</v>
      </c>
      <c r="J25" s="1" t="s">
        <v>6</v>
      </c>
      <c r="K25" s="1">
        <v>5</v>
      </c>
      <c r="L25" s="1">
        <v>27</v>
      </c>
      <c r="M25" s="1">
        <v>378</v>
      </c>
      <c r="N25" s="1">
        <v>8.1248000000000001E-2</v>
      </c>
      <c r="O25" s="1">
        <v>0</v>
      </c>
      <c r="P25" s="1" t="s">
        <v>14</v>
      </c>
      <c r="R25" s="2" t="s">
        <v>23</v>
      </c>
      <c r="S25" s="2" t="s">
        <v>24</v>
      </c>
      <c r="T25" s="2" t="s">
        <v>25</v>
      </c>
      <c r="U25" s="2" t="s">
        <v>26</v>
      </c>
    </row>
    <row r="26" spans="3:21" x14ac:dyDescent="0.25">
      <c r="C26" s="20" t="s">
        <v>7</v>
      </c>
      <c r="D26" s="20">
        <v>5</v>
      </c>
      <c r="E26" s="20">
        <v>27</v>
      </c>
      <c r="F26" s="20">
        <v>378</v>
      </c>
      <c r="G26" s="20">
        <v>7.1516999999999997E-2</v>
      </c>
      <c r="H26" s="20">
        <v>0</v>
      </c>
      <c r="I26" s="20" t="s">
        <v>34</v>
      </c>
      <c r="J26" s="1" t="s">
        <v>7</v>
      </c>
      <c r="K26" s="1">
        <v>5</v>
      </c>
      <c r="L26" s="1">
        <v>27</v>
      </c>
      <c r="M26" s="1">
        <v>378</v>
      </c>
      <c r="N26" s="1">
        <v>0.169155</v>
      </c>
      <c r="O26" s="1">
        <v>0</v>
      </c>
      <c r="P26" s="1" t="s">
        <v>15</v>
      </c>
      <c r="Q26" s="2" t="s">
        <v>23</v>
      </c>
      <c r="R26" s="1" t="s">
        <v>31</v>
      </c>
      <c r="S26" s="1">
        <v>0</v>
      </c>
      <c r="T26" s="1">
        <v>0</v>
      </c>
      <c r="U26" s="1">
        <v>3</v>
      </c>
    </row>
    <row r="27" spans="3:21" x14ac:dyDescent="0.25">
      <c r="C27" s="1" t="s">
        <v>8</v>
      </c>
      <c r="D27" s="1">
        <v>5</v>
      </c>
      <c r="E27" s="1">
        <v>27</v>
      </c>
      <c r="F27" s="1">
        <v>287</v>
      </c>
      <c r="G27" s="1">
        <v>1.5389E-2</v>
      </c>
      <c r="H27" s="1">
        <v>1.9E-2</v>
      </c>
      <c r="I27" s="1" t="s">
        <v>13</v>
      </c>
      <c r="J27" s="1" t="s">
        <v>8</v>
      </c>
      <c r="K27" s="1">
        <v>5</v>
      </c>
      <c r="L27" s="1">
        <v>27</v>
      </c>
      <c r="M27" s="1">
        <v>0</v>
      </c>
      <c r="N27" s="1">
        <v>-0.108331</v>
      </c>
      <c r="O27" s="1">
        <v>0</v>
      </c>
      <c r="P27" s="1" t="s">
        <v>13</v>
      </c>
      <c r="Q27" s="2" t="s">
        <v>24</v>
      </c>
      <c r="R27" s="1">
        <v>3</v>
      </c>
      <c r="S27" s="1" t="s">
        <v>31</v>
      </c>
      <c r="T27" s="1" t="s">
        <v>35</v>
      </c>
      <c r="U27" s="1">
        <v>0</v>
      </c>
    </row>
    <row r="28" spans="3:21" x14ac:dyDescent="0.25">
      <c r="C28" s="1" t="s">
        <v>9</v>
      </c>
      <c r="D28" s="1">
        <v>5</v>
      </c>
      <c r="E28" s="1">
        <v>27</v>
      </c>
      <c r="F28" s="1">
        <v>5</v>
      </c>
      <c r="G28" s="1">
        <v>-5.2650000000000002E-2</v>
      </c>
      <c r="H28" s="1">
        <v>0</v>
      </c>
      <c r="I28" s="1" t="s">
        <v>15</v>
      </c>
      <c r="J28" s="1" t="s">
        <v>9</v>
      </c>
      <c r="K28" s="1">
        <v>5</v>
      </c>
      <c r="L28" s="1">
        <v>27</v>
      </c>
      <c r="M28" s="1">
        <v>87</v>
      </c>
      <c r="N28" s="1">
        <v>-2.1722000000000002E-2</v>
      </c>
      <c r="O28" s="1">
        <v>1.4999999999999999E-2</v>
      </c>
      <c r="P28" s="1" t="s">
        <v>13</v>
      </c>
      <c r="Q28" s="2" t="s">
        <v>25</v>
      </c>
      <c r="R28" s="1">
        <v>3</v>
      </c>
      <c r="S28" s="1" t="s">
        <v>36</v>
      </c>
      <c r="T28" s="1" t="s">
        <v>31</v>
      </c>
      <c r="U28" s="1">
        <v>0</v>
      </c>
    </row>
    <row r="29" spans="3:21" x14ac:dyDescent="0.25">
      <c r="C29" s="1" t="s">
        <v>10</v>
      </c>
      <c r="D29" s="1">
        <v>5</v>
      </c>
      <c r="E29" s="1">
        <v>27</v>
      </c>
      <c r="F29" s="1">
        <v>0</v>
      </c>
      <c r="G29" s="1">
        <v>-0.11586200000000001</v>
      </c>
      <c r="H29" s="1">
        <v>0</v>
      </c>
      <c r="I29" s="1" t="s">
        <v>15</v>
      </c>
      <c r="J29" s="1" t="s">
        <v>10</v>
      </c>
      <c r="K29" s="1">
        <v>5</v>
      </c>
      <c r="L29" s="1">
        <v>27</v>
      </c>
      <c r="M29" s="1">
        <v>378</v>
      </c>
      <c r="N29" s="1">
        <v>8.5124000000000005E-2</v>
      </c>
      <c r="O29" s="1">
        <v>0</v>
      </c>
      <c r="P29" s="1" t="s">
        <v>15</v>
      </c>
      <c r="Q29" s="2" t="s">
        <v>26</v>
      </c>
      <c r="R29" s="1">
        <v>0</v>
      </c>
      <c r="S29" s="1">
        <v>3</v>
      </c>
      <c r="T29" s="1">
        <v>3</v>
      </c>
      <c r="U29" s="1" t="s">
        <v>31</v>
      </c>
    </row>
    <row r="30" spans="3:21" x14ac:dyDescent="0.25">
      <c r="C30" s="1" t="s">
        <v>5</v>
      </c>
      <c r="D30" s="1">
        <v>7</v>
      </c>
      <c r="E30" s="1">
        <v>27</v>
      </c>
      <c r="F30" s="1">
        <v>0</v>
      </c>
      <c r="G30" s="1">
        <v>-6.2760999999999997E-2</v>
      </c>
      <c r="H30" s="1">
        <v>0</v>
      </c>
      <c r="I30" s="1" t="s">
        <v>13</v>
      </c>
      <c r="J30" s="1" t="s">
        <v>5</v>
      </c>
      <c r="K30" s="1">
        <v>7</v>
      </c>
      <c r="L30" s="1">
        <v>27</v>
      </c>
      <c r="M30" s="1">
        <v>378</v>
      </c>
      <c r="N30" s="1">
        <v>0.173624</v>
      </c>
      <c r="O30" s="1">
        <v>0</v>
      </c>
      <c r="P30" s="1" t="s">
        <v>13</v>
      </c>
    </row>
    <row r="31" spans="3:21" x14ac:dyDescent="0.25">
      <c r="C31" s="1" t="s">
        <v>6</v>
      </c>
      <c r="D31" s="1">
        <v>7</v>
      </c>
      <c r="E31" s="1">
        <v>27</v>
      </c>
      <c r="F31" s="1">
        <v>0</v>
      </c>
      <c r="G31" s="1">
        <v>-0.120965</v>
      </c>
      <c r="H31" s="1">
        <v>0</v>
      </c>
      <c r="I31" s="1" t="s">
        <v>14</v>
      </c>
      <c r="J31" s="1" t="s">
        <v>6</v>
      </c>
      <c r="K31" s="1">
        <v>7</v>
      </c>
      <c r="L31" s="1">
        <v>27</v>
      </c>
      <c r="M31" s="1">
        <v>378</v>
      </c>
      <c r="N31" s="1">
        <v>9.1161000000000006E-2</v>
      </c>
      <c r="O31" s="1">
        <v>0</v>
      </c>
      <c r="P31" s="1" t="s">
        <v>14</v>
      </c>
    </row>
    <row r="32" spans="3:21" x14ac:dyDescent="0.25">
      <c r="C32" s="20" t="s">
        <v>7</v>
      </c>
      <c r="D32" s="20">
        <v>7</v>
      </c>
      <c r="E32" s="20">
        <v>27</v>
      </c>
      <c r="F32" s="20">
        <v>378</v>
      </c>
      <c r="G32" s="20">
        <v>5.1580000000000001E-2</v>
      </c>
      <c r="H32" s="20">
        <v>0</v>
      </c>
      <c r="I32" s="20" t="s">
        <v>34</v>
      </c>
      <c r="J32" s="1" t="s">
        <v>7</v>
      </c>
      <c r="K32" s="1">
        <v>7</v>
      </c>
      <c r="L32" s="1">
        <v>27</v>
      </c>
      <c r="M32" s="1">
        <v>378</v>
      </c>
      <c r="N32" s="1">
        <v>0.16317100000000001</v>
      </c>
      <c r="O32" s="1">
        <v>0</v>
      </c>
      <c r="P32" s="1" t="s">
        <v>15</v>
      </c>
      <c r="Q32" s="2" t="s">
        <v>30</v>
      </c>
    </row>
    <row r="33" spans="3:21" x14ac:dyDescent="0.25">
      <c r="C33" s="1" t="s">
        <v>8</v>
      </c>
      <c r="D33" s="1">
        <v>7</v>
      </c>
      <c r="E33" s="1">
        <v>27</v>
      </c>
      <c r="F33" s="1">
        <v>180</v>
      </c>
      <c r="G33" s="1">
        <v>-1.457E-3</v>
      </c>
      <c r="H33" s="1">
        <v>0.83799999999999997</v>
      </c>
      <c r="I33" s="1" t="s">
        <v>12</v>
      </c>
      <c r="J33" s="1" t="s">
        <v>8</v>
      </c>
      <c r="K33" s="1">
        <v>7</v>
      </c>
      <c r="L33" s="1">
        <v>27</v>
      </c>
      <c r="M33" s="1">
        <v>6</v>
      </c>
      <c r="N33" s="1">
        <v>-8.4147E-2</v>
      </c>
      <c r="O33" s="1">
        <v>0</v>
      </c>
      <c r="P33" s="1" t="s">
        <v>13</v>
      </c>
      <c r="R33" s="2" t="s">
        <v>23</v>
      </c>
      <c r="S33" s="2" t="s">
        <v>24</v>
      </c>
      <c r="T33" s="2" t="s">
        <v>25</v>
      </c>
      <c r="U33" s="2" t="s">
        <v>26</v>
      </c>
    </row>
    <row r="34" spans="3:21" x14ac:dyDescent="0.25">
      <c r="C34" s="1" t="s">
        <v>9</v>
      </c>
      <c r="D34" s="1">
        <v>7</v>
      </c>
      <c r="E34" s="1">
        <v>27</v>
      </c>
      <c r="F34" s="1">
        <v>14</v>
      </c>
      <c r="G34" s="1">
        <v>-5.7486000000000002E-2</v>
      </c>
      <c r="H34" s="1">
        <v>0</v>
      </c>
      <c r="I34" s="1" t="s">
        <v>15</v>
      </c>
      <c r="J34" s="1" t="s">
        <v>9</v>
      </c>
      <c r="K34" s="1">
        <v>7</v>
      </c>
      <c r="L34" s="1">
        <v>27</v>
      </c>
      <c r="M34" s="1">
        <v>128</v>
      </c>
      <c r="N34" s="1">
        <v>-1.3819E-2</v>
      </c>
      <c r="O34" s="1">
        <v>0.14599999999999999</v>
      </c>
      <c r="P34" s="1" t="s">
        <v>12</v>
      </c>
      <c r="Q34" s="2" t="s">
        <v>23</v>
      </c>
      <c r="R34" s="1" t="s">
        <v>31</v>
      </c>
      <c r="S34" s="1">
        <v>0</v>
      </c>
      <c r="T34" s="1">
        <v>0</v>
      </c>
      <c r="U34" s="1">
        <v>0</v>
      </c>
    </row>
    <row r="35" spans="3:21" x14ac:dyDescent="0.25">
      <c r="C35" s="1" t="s">
        <v>10</v>
      </c>
      <c r="D35" s="1">
        <v>7</v>
      </c>
      <c r="E35" s="1">
        <v>27</v>
      </c>
      <c r="F35" s="1">
        <v>0</v>
      </c>
      <c r="G35" s="1">
        <v>-0.114174</v>
      </c>
      <c r="H35" s="1">
        <v>0</v>
      </c>
      <c r="I35" s="1" t="s">
        <v>15</v>
      </c>
      <c r="J35" s="1" t="s">
        <v>10</v>
      </c>
      <c r="K35" s="1">
        <v>7</v>
      </c>
      <c r="L35" s="1">
        <v>27</v>
      </c>
      <c r="M35" s="1">
        <v>353</v>
      </c>
      <c r="N35" s="1">
        <v>6.8362000000000006E-2</v>
      </c>
      <c r="O35" s="1">
        <v>0</v>
      </c>
      <c r="P35" s="1" t="s">
        <v>15</v>
      </c>
      <c r="Q35" s="2" t="s">
        <v>24</v>
      </c>
      <c r="R35" s="1">
        <v>3</v>
      </c>
      <c r="S35" s="1" t="s">
        <v>31</v>
      </c>
      <c r="T35" s="1">
        <v>3</v>
      </c>
      <c r="U35" s="1" t="s">
        <v>35</v>
      </c>
    </row>
    <row r="36" spans="3:21" x14ac:dyDescent="0.25">
      <c r="C36" s="1" t="s">
        <v>5</v>
      </c>
      <c r="D36" s="1">
        <v>9</v>
      </c>
      <c r="E36" s="1">
        <v>27</v>
      </c>
      <c r="F36" s="1">
        <v>0</v>
      </c>
      <c r="G36" s="1">
        <v>-5.8907000000000001E-2</v>
      </c>
      <c r="H36" s="1">
        <v>0</v>
      </c>
      <c r="I36" s="1" t="s">
        <v>13</v>
      </c>
      <c r="J36" s="1" t="s">
        <v>5</v>
      </c>
      <c r="K36" s="1">
        <v>9</v>
      </c>
      <c r="L36" s="1">
        <v>27</v>
      </c>
      <c r="M36" s="1">
        <v>378</v>
      </c>
      <c r="N36" s="1">
        <v>0.17080500000000001</v>
      </c>
      <c r="O36" s="1">
        <v>0</v>
      </c>
      <c r="P36" s="1" t="s">
        <v>13</v>
      </c>
      <c r="Q36" s="2" t="s">
        <v>25</v>
      </c>
      <c r="R36" s="1">
        <v>3</v>
      </c>
      <c r="S36" s="1">
        <v>0</v>
      </c>
      <c r="T36" s="1" t="s">
        <v>31</v>
      </c>
      <c r="U36" s="1">
        <v>0</v>
      </c>
    </row>
    <row r="37" spans="3:21" x14ac:dyDescent="0.25">
      <c r="C37" s="1" t="s">
        <v>6</v>
      </c>
      <c r="D37" s="1">
        <v>9</v>
      </c>
      <c r="E37" s="1">
        <v>27</v>
      </c>
      <c r="F37" s="1">
        <v>0</v>
      </c>
      <c r="G37" s="1">
        <v>-0.112485</v>
      </c>
      <c r="H37" s="1">
        <v>0</v>
      </c>
      <c r="I37" s="1" t="s">
        <v>14</v>
      </c>
      <c r="J37" s="1" t="s">
        <v>6</v>
      </c>
      <c r="K37" s="1">
        <v>9</v>
      </c>
      <c r="L37" s="1">
        <v>27</v>
      </c>
      <c r="M37" s="1">
        <v>378</v>
      </c>
      <c r="N37" s="1">
        <v>7.9162999999999997E-2</v>
      </c>
      <c r="O37" s="1">
        <v>0</v>
      </c>
      <c r="P37" s="1" t="s">
        <v>14</v>
      </c>
      <c r="Q37" s="2" t="s">
        <v>26</v>
      </c>
      <c r="R37" s="1">
        <v>3</v>
      </c>
      <c r="S37" s="1" t="s">
        <v>36</v>
      </c>
      <c r="T37" s="1">
        <v>3</v>
      </c>
      <c r="U37" s="1" t="s">
        <v>31</v>
      </c>
    </row>
    <row r="38" spans="3:21" x14ac:dyDescent="0.25">
      <c r="C38" s="20" t="s">
        <v>7</v>
      </c>
      <c r="D38" s="20">
        <v>9</v>
      </c>
      <c r="E38" s="20">
        <v>27</v>
      </c>
      <c r="F38" s="20">
        <v>375</v>
      </c>
      <c r="G38" s="20">
        <v>5.595E-2</v>
      </c>
      <c r="H38" s="20">
        <v>0</v>
      </c>
      <c r="I38" s="20" t="s">
        <v>34</v>
      </c>
      <c r="J38" s="1" t="s">
        <v>7</v>
      </c>
      <c r="K38" s="1">
        <v>9</v>
      </c>
      <c r="L38" s="1">
        <v>27</v>
      </c>
      <c r="M38" s="1">
        <v>378</v>
      </c>
      <c r="N38" s="1">
        <v>0.15673999999999999</v>
      </c>
      <c r="O38" s="1">
        <v>0</v>
      </c>
      <c r="P38" s="1" t="s">
        <v>15</v>
      </c>
    </row>
    <row r="39" spans="3:21" x14ac:dyDescent="0.25">
      <c r="C39" s="1" t="s">
        <v>8</v>
      </c>
      <c r="D39" s="1">
        <v>9</v>
      </c>
      <c r="E39" s="1">
        <v>27</v>
      </c>
      <c r="F39" s="1">
        <v>197</v>
      </c>
      <c r="G39" s="1">
        <v>1.944E-3</v>
      </c>
      <c r="H39" s="1">
        <v>0.85699999999999998</v>
      </c>
      <c r="I39" s="1" t="s">
        <v>12</v>
      </c>
      <c r="J39" s="1" t="s">
        <v>8</v>
      </c>
      <c r="K39" s="1">
        <v>9</v>
      </c>
      <c r="L39" s="1">
        <v>27</v>
      </c>
      <c r="M39" s="1">
        <v>3</v>
      </c>
      <c r="N39" s="1">
        <v>-9.2732999999999996E-2</v>
      </c>
      <c r="O39" s="1">
        <v>0</v>
      </c>
      <c r="P39" s="1" t="s">
        <v>13</v>
      </c>
    </row>
    <row r="40" spans="3:21" x14ac:dyDescent="0.25">
      <c r="C40" s="1" t="s">
        <v>9</v>
      </c>
      <c r="D40" s="1">
        <v>9</v>
      </c>
      <c r="E40" s="1">
        <v>27</v>
      </c>
      <c r="F40" s="1">
        <v>0</v>
      </c>
      <c r="G40" s="1">
        <v>-5.1005000000000002E-2</v>
      </c>
      <c r="H40" s="1">
        <v>0</v>
      </c>
      <c r="I40" s="1" t="s">
        <v>15</v>
      </c>
      <c r="J40" s="1" t="s">
        <v>9</v>
      </c>
      <c r="K40" s="1">
        <v>9</v>
      </c>
      <c r="L40" s="1">
        <v>27</v>
      </c>
      <c r="M40" s="1">
        <v>120</v>
      </c>
      <c r="N40" s="1">
        <v>-1.9800999999999999E-2</v>
      </c>
      <c r="O40" s="1">
        <v>0.1</v>
      </c>
      <c r="P40" s="1" t="s">
        <v>12</v>
      </c>
    </row>
    <row r="41" spans="3:21" x14ac:dyDescent="0.25">
      <c r="C41" s="1" t="s">
        <v>10</v>
      </c>
      <c r="D41" s="1">
        <v>9</v>
      </c>
      <c r="E41" s="1">
        <v>27</v>
      </c>
      <c r="F41" s="1">
        <v>146</v>
      </c>
      <c r="G41" s="1">
        <v>1987.89</v>
      </c>
      <c r="H41" s="1">
        <v>0</v>
      </c>
      <c r="I41" s="1" t="s">
        <v>15</v>
      </c>
      <c r="J41" s="1" t="s">
        <v>10</v>
      </c>
      <c r="K41" s="1">
        <v>9</v>
      </c>
      <c r="L41" s="1">
        <v>27</v>
      </c>
      <c r="M41" s="1">
        <v>378</v>
      </c>
      <c r="N41" s="1">
        <v>7.1263999999999994E-2</v>
      </c>
      <c r="O41" s="1">
        <v>0</v>
      </c>
      <c r="P41" s="1" t="s">
        <v>15</v>
      </c>
    </row>
    <row r="42" spans="3:21" x14ac:dyDescent="0.25">
      <c r="C42" s="4" t="s">
        <v>32</v>
      </c>
    </row>
  </sheetData>
  <mergeCells count="4">
    <mergeCell ref="C2:I2"/>
    <mergeCell ref="J2:P2"/>
    <mergeCell ref="C22:I22"/>
    <mergeCell ref="J22:P22"/>
  </mergeCells>
  <conditionalFormatting sqref="Q4:U5 Q6:Q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:U13 Q14:Q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4:U25 Q26:Q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2:U33 Q34:Q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04A5-C154-497B-9425-AD2AA71A2687}">
  <dimension ref="C1:L43"/>
  <sheetViews>
    <sheetView tabSelected="1" topLeftCell="A32" zoomScale="130" zoomScaleNormal="130" workbookViewId="0">
      <selection activeCell="P33" sqref="P33"/>
    </sheetView>
  </sheetViews>
  <sheetFormatPr defaultRowHeight="15.75" x14ac:dyDescent="0.25"/>
  <cols>
    <col min="1" max="2" width="9.140625" style="1"/>
    <col min="3" max="3" width="13.7109375" style="1" bestFit="1" customWidth="1"/>
    <col min="4" max="4" width="3.7109375" style="1" bestFit="1" customWidth="1"/>
    <col min="5" max="5" width="9.42578125" style="1" bestFit="1" customWidth="1"/>
    <col min="6" max="6" width="12.7109375" style="1" customWidth="1"/>
    <col min="7" max="7" width="9.7109375" style="1" customWidth="1"/>
    <col min="8" max="8" width="13.7109375" style="1" bestFit="1" customWidth="1"/>
    <col min="9" max="9" width="3.7109375" style="1" bestFit="1" customWidth="1"/>
    <col min="10" max="10" width="9.42578125" style="1" bestFit="1" customWidth="1"/>
    <col min="11" max="11" width="12.7109375" style="1" customWidth="1"/>
    <col min="12" max="12" width="9.7109375" style="1" bestFit="1" customWidth="1"/>
    <col min="13" max="16384" width="9.140625" style="1"/>
  </cols>
  <sheetData>
    <row r="1" spans="3:12" ht="16.5" thickBot="1" x14ac:dyDescent="0.3"/>
    <row r="2" spans="3:12" ht="24.95" customHeight="1" thickBot="1" x14ac:dyDescent="0.3">
      <c r="C2" s="23" t="s">
        <v>28</v>
      </c>
      <c r="D2" s="24"/>
      <c r="E2" s="24"/>
      <c r="F2" s="24"/>
      <c r="G2" s="24"/>
      <c r="H2" s="24" t="s">
        <v>29</v>
      </c>
      <c r="I2" s="24"/>
      <c r="J2" s="24"/>
      <c r="K2" s="24"/>
      <c r="L2" s="25"/>
    </row>
    <row r="3" spans="3:12" ht="63" x14ac:dyDescent="0.25">
      <c r="C3" s="2" t="s">
        <v>0</v>
      </c>
      <c r="D3" s="2" t="s">
        <v>1</v>
      </c>
      <c r="E3" s="2" t="s">
        <v>16</v>
      </c>
      <c r="F3" s="3" t="s">
        <v>37</v>
      </c>
      <c r="G3" s="2" t="s">
        <v>11</v>
      </c>
      <c r="H3" s="2" t="s">
        <v>0</v>
      </c>
      <c r="I3" s="2" t="s">
        <v>1</v>
      </c>
      <c r="J3" s="2" t="s">
        <v>16</v>
      </c>
      <c r="K3" s="3" t="s">
        <v>37</v>
      </c>
      <c r="L3" s="2" t="s">
        <v>11</v>
      </c>
    </row>
    <row r="4" spans="3:12" x14ac:dyDescent="0.25">
      <c r="C4" s="1" t="s">
        <v>5</v>
      </c>
      <c r="D4" s="1">
        <v>5</v>
      </c>
      <c r="E4" s="1">
        <v>0</v>
      </c>
      <c r="F4" s="1">
        <f>0.05/6</f>
        <v>8.3333333333333332E-3</v>
      </c>
      <c r="G4" s="21" t="s">
        <v>38</v>
      </c>
      <c r="H4" s="1" t="s">
        <v>5</v>
      </c>
      <c r="I4" s="1">
        <v>5</v>
      </c>
      <c r="J4" s="1">
        <v>0</v>
      </c>
      <c r="K4" s="1">
        <f>0.05/6</f>
        <v>8.3333333333333332E-3</v>
      </c>
      <c r="L4" s="21" t="s">
        <v>38</v>
      </c>
    </row>
    <row r="5" spans="3:12" x14ac:dyDescent="0.25">
      <c r="C5" s="1" t="s">
        <v>6</v>
      </c>
      <c r="D5" s="1">
        <v>5</v>
      </c>
      <c r="E5" s="1">
        <v>0</v>
      </c>
      <c r="F5" s="1">
        <f>0.05/5</f>
        <v>0.01</v>
      </c>
      <c r="G5" s="21" t="s">
        <v>38</v>
      </c>
      <c r="H5" s="1" t="s">
        <v>6</v>
      </c>
      <c r="I5" s="1">
        <v>5</v>
      </c>
      <c r="J5" s="1">
        <v>0</v>
      </c>
      <c r="K5" s="1">
        <f>0.05/5</f>
        <v>0.01</v>
      </c>
      <c r="L5" s="21" t="s">
        <v>38</v>
      </c>
    </row>
    <row r="6" spans="3:12" x14ac:dyDescent="0.25">
      <c r="C6" s="1" t="s">
        <v>7</v>
      </c>
      <c r="D6" s="1">
        <v>5</v>
      </c>
      <c r="E6" s="1">
        <v>0</v>
      </c>
      <c r="F6" s="1">
        <f>0.05/4</f>
        <v>1.2500000000000001E-2</v>
      </c>
      <c r="G6" s="21" t="s">
        <v>38</v>
      </c>
      <c r="H6" s="1" t="s">
        <v>7</v>
      </c>
      <c r="I6" s="1">
        <v>5</v>
      </c>
      <c r="J6" s="1">
        <v>0</v>
      </c>
      <c r="K6" s="1">
        <f>0.05/4</f>
        <v>1.2500000000000001E-2</v>
      </c>
      <c r="L6" s="21" t="s">
        <v>38</v>
      </c>
    </row>
    <row r="7" spans="3:12" x14ac:dyDescent="0.25">
      <c r="C7" s="1" t="s">
        <v>8</v>
      </c>
      <c r="D7" s="1">
        <v>5</v>
      </c>
      <c r="E7" s="1">
        <v>0</v>
      </c>
      <c r="F7" s="1">
        <f>0.05/3</f>
        <v>1.6666666666666666E-2</v>
      </c>
      <c r="G7" s="21" t="s">
        <v>38</v>
      </c>
      <c r="H7" s="1" t="s">
        <v>8</v>
      </c>
      <c r="I7" s="1">
        <v>5</v>
      </c>
      <c r="J7" s="1">
        <v>0</v>
      </c>
      <c r="K7" s="1">
        <f>0.05/3</f>
        <v>1.6666666666666666E-2</v>
      </c>
      <c r="L7" s="21" t="s">
        <v>38</v>
      </c>
    </row>
    <row r="8" spans="3:12" x14ac:dyDescent="0.25">
      <c r="C8" s="1" t="s">
        <v>10</v>
      </c>
      <c r="D8" s="1">
        <v>5</v>
      </c>
      <c r="E8" s="1">
        <v>0</v>
      </c>
      <c r="F8" s="1">
        <f>0.05/2</f>
        <v>2.5000000000000001E-2</v>
      </c>
      <c r="G8" s="21" t="s">
        <v>38</v>
      </c>
      <c r="H8" s="1" t="s">
        <v>9</v>
      </c>
      <c r="I8" s="1">
        <v>5</v>
      </c>
      <c r="J8" s="1">
        <v>0</v>
      </c>
      <c r="K8" s="1">
        <f>0.05/2</f>
        <v>2.5000000000000001E-2</v>
      </c>
      <c r="L8" s="21" t="s">
        <v>38</v>
      </c>
    </row>
    <row r="9" spans="3:12" x14ac:dyDescent="0.25">
      <c r="C9" s="1" t="s">
        <v>9</v>
      </c>
      <c r="D9" s="1">
        <v>5</v>
      </c>
      <c r="E9" s="1">
        <v>1.2E-2</v>
      </c>
      <c r="F9" s="1">
        <f>0.05/1</f>
        <v>0.05</v>
      </c>
      <c r="G9" s="21" t="s">
        <v>38</v>
      </c>
      <c r="H9" s="1" t="s">
        <v>10</v>
      </c>
      <c r="I9" s="1">
        <v>5</v>
      </c>
      <c r="J9" s="1">
        <v>0</v>
      </c>
      <c r="K9" s="1">
        <f>0.05/1</f>
        <v>0.05</v>
      </c>
      <c r="L9" s="21" t="s">
        <v>38</v>
      </c>
    </row>
    <row r="10" spans="3:12" x14ac:dyDescent="0.25">
      <c r="C10" s="1" t="s">
        <v>5</v>
      </c>
      <c r="D10" s="1">
        <v>7</v>
      </c>
      <c r="E10" s="1">
        <v>0</v>
      </c>
      <c r="F10" s="1">
        <f>0.05/6</f>
        <v>8.3333333333333332E-3</v>
      </c>
      <c r="G10" s="21" t="s">
        <v>38</v>
      </c>
      <c r="H10" s="1" t="s">
        <v>5</v>
      </c>
      <c r="I10" s="1">
        <v>7</v>
      </c>
      <c r="J10" s="1">
        <v>0</v>
      </c>
      <c r="K10" s="1">
        <f>0.05/6</f>
        <v>8.3333333333333332E-3</v>
      </c>
      <c r="L10" s="21" t="s">
        <v>38</v>
      </c>
    </row>
    <row r="11" spans="3:12" x14ac:dyDescent="0.25">
      <c r="C11" s="1" t="s">
        <v>6</v>
      </c>
      <c r="D11" s="1">
        <v>7</v>
      </c>
      <c r="E11" s="1">
        <v>0</v>
      </c>
      <c r="F11" s="1">
        <f>0.05/5</f>
        <v>0.01</v>
      </c>
      <c r="G11" s="21" t="s">
        <v>38</v>
      </c>
      <c r="H11" s="1" t="s">
        <v>6</v>
      </c>
      <c r="I11" s="1">
        <v>7</v>
      </c>
      <c r="J11" s="1">
        <v>0</v>
      </c>
      <c r="K11" s="1">
        <f>0.05/5</f>
        <v>0.01</v>
      </c>
      <c r="L11" s="21" t="s">
        <v>38</v>
      </c>
    </row>
    <row r="12" spans="3:12" x14ac:dyDescent="0.25">
      <c r="C12" s="1" t="s">
        <v>7</v>
      </c>
      <c r="D12" s="1">
        <v>7</v>
      </c>
      <c r="E12" s="1">
        <v>0</v>
      </c>
      <c r="F12" s="1">
        <f>0.05/4</f>
        <v>1.2500000000000001E-2</v>
      </c>
      <c r="G12" s="21" t="s">
        <v>38</v>
      </c>
      <c r="H12" s="1" t="s">
        <v>7</v>
      </c>
      <c r="I12" s="1">
        <v>7</v>
      </c>
      <c r="J12" s="1">
        <v>0</v>
      </c>
      <c r="K12" s="1">
        <f>0.05/4</f>
        <v>1.2500000000000001E-2</v>
      </c>
      <c r="L12" s="21" t="s">
        <v>38</v>
      </c>
    </row>
    <row r="13" spans="3:12" x14ac:dyDescent="0.25">
      <c r="C13" s="1" t="s">
        <v>8</v>
      </c>
      <c r="D13" s="1">
        <v>7</v>
      </c>
      <c r="E13" s="1">
        <v>0</v>
      </c>
      <c r="F13" s="1">
        <f>0.05/3</f>
        <v>1.6666666666666666E-2</v>
      </c>
      <c r="G13" s="21" t="s">
        <v>38</v>
      </c>
      <c r="H13" s="1" t="s">
        <v>8</v>
      </c>
      <c r="I13" s="1">
        <v>7</v>
      </c>
      <c r="J13" s="1">
        <v>0</v>
      </c>
      <c r="K13" s="1">
        <f>0.05/3</f>
        <v>1.6666666666666666E-2</v>
      </c>
      <c r="L13" s="21" t="s">
        <v>38</v>
      </c>
    </row>
    <row r="14" spans="3:12" x14ac:dyDescent="0.25">
      <c r="C14" s="1" t="s">
        <v>10</v>
      </c>
      <c r="D14" s="1">
        <v>7</v>
      </c>
      <c r="E14" s="1">
        <v>0</v>
      </c>
      <c r="F14" s="1">
        <f>0.05/2</f>
        <v>2.5000000000000001E-2</v>
      </c>
      <c r="G14" s="21" t="s">
        <v>38</v>
      </c>
      <c r="H14" s="1" t="s">
        <v>10</v>
      </c>
      <c r="I14" s="1">
        <v>7</v>
      </c>
      <c r="J14" s="1">
        <v>0</v>
      </c>
      <c r="K14" s="1">
        <f>0.05/2</f>
        <v>2.5000000000000001E-2</v>
      </c>
      <c r="L14" s="21" t="s">
        <v>38</v>
      </c>
    </row>
    <row r="15" spans="3:12" x14ac:dyDescent="0.25">
      <c r="C15" s="1" t="s">
        <v>9</v>
      </c>
      <c r="D15" s="1">
        <v>7</v>
      </c>
      <c r="E15" s="1">
        <v>1.7999999999999999E-2</v>
      </c>
      <c r="F15" s="1">
        <f>0.05/1</f>
        <v>0.05</v>
      </c>
      <c r="G15" s="21" t="s">
        <v>38</v>
      </c>
      <c r="H15" s="1" t="s">
        <v>9</v>
      </c>
      <c r="I15" s="1">
        <v>7</v>
      </c>
      <c r="J15" s="1">
        <v>6.0000000000000001E-3</v>
      </c>
      <c r="K15" s="1">
        <f>0.05/1</f>
        <v>0.05</v>
      </c>
      <c r="L15" s="21" t="s">
        <v>38</v>
      </c>
    </row>
    <row r="16" spans="3:12" x14ac:dyDescent="0.25">
      <c r="C16" s="1" t="s">
        <v>5</v>
      </c>
      <c r="D16" s="1">
        <v>9</v>
      </c>
      <c r="E16" s="1">
        <v>0</v>
      </c>
      <c r="F16" s="1">
        <f>0.05/6</f>
        <v>8.3333333333333332E-3</v>
      </c>
      <c r="G16" s="21" t="s">
        <v>38</v>
      </c>
      <c r="H16" s="1" t="s">
        <v>5</v>
      </c>
      <c r="I16" s="1">
        <v>9</v>
      </c>
      <c r="J16" s="1">
        <v>0</v>
      </c>
      <c r="K16" s="1">
        <f>0.05/6</f>
        <v>8.3333333333333332E-3</v>
      </c>
      <c r="L16" s="21" t="s">
        <v>38</v>
      </c>
    </row>
    <row r="17" spans="3:12" x14ac:dyDescent="0.25">
      <c r="C17" s="1" t="s">
        <v>6</v>
      </c>
      <c r="D17" s="1">
        <v>9</v>
      </c>
      <c r="E17" s="1">
        <v>0</v>
      </c>
      <c r="F17" s="1">
        <f>0.05/5</f>
        <v>0.01</v>
      </c>
      <c r="G17" s="21" t="s">
        <v>38</v>
      </c>
      <c r="H17" s="1" t="s">
        <v>6</v>
      </c>
      <c r="I17" s="1">
        <v>9</v>
      </c>
      <c r="J17" s="1">
        <v>0</v>
      </c>
      <c r="K17" s="1">
        <f>0.05/5</f>
        <v>0.01</v>
      </c>
      <c r="L17" s="21" t="s">
        <v>38</v>
      </c>
    </row>
    <row r="18" spans="3:12" x14ac:dyDescent="0.25">
      <c r="C18" s="1" t="s">
        <v>7</v>
      </c>
      <c r="D18" s="1">
        <v>9</v>
      </c>
      <c r="E18" s="1">
        <v>0</v>
      </c>
      <c r="F18" s="1">
        <f>0.05/4</f>
        <v>1.2500000000000001E-2</v>
      </c>
      <c r="G18" s="21" t="s">
        <v>38</v>
      </c>
      <c r="H18" s="1" t="s">
        <v>7</v>
      </c>
      <c r="I18" s="1">
        <v>9</v>
      </c>
      <c r="J18" s="1">
        <v>0</v>
      </c>
      <c r="K18" s="1">
        <f>0.05/4</f>
        <v>1.2500000000000001E-2</v>
      </c>
      <c r="L18" s="21" t="s">
        <v>38</v>
      </c>
    </row>
    <row r="19" spans="3:12" x14ac:dyDescent="0.25">
      <c r="C19" s="1" t="s">
        <v>8</v>
      </c>
      <c r="D19" s="1">
        <v>9</v>
      </c>
      <c r="E19" s="1">
        <v>0</v>
      </c>
      <c r="F19" s="1">
        <f>0.05/3</f>
        <v>1.6666666666666666E-2</v>
      </c>
      <c r="G19" s="21" t="s">
        <v>38</v>
      </c>
      <c r="H19" s="1" t="s">
        <v>9</v>
      </c>
      <c r="I19" s="1">
        <v>9</v>
      </c>
      <c r="J19" s="1">
        <v>0</v>
      </c>
      <c r="K19" s="1">
        <f>0.05/3</f>
        <v>1.6666666666666666E-2</v>
      </c>
      <c r="L19" s="21" t="s">
        <v>38</v>
      </c>
    </row>
    <row r="20" spans="3:12" x14ac:dyDescent="0.25">
      <c r="C20" s="1" t="s">
        <v>10</v>
      </c>
      <c r="D20" s="1">
        <v>9</v>
      </c>
      <c r="E20" s="1">
        <v>0</v>
      </c>
      <c r="F20" s="1">
        <f>0.05/2</f>
        <v>2.5000000000000001E-2</v>
      </c>
      <c r="G20" s="21" t="s">
        <v>38</v>
      </c>
      <c r="H20" s="1" t="s">
        <v>10</v>
      </c>
      <c r="I20" s="1">
        <v>9</v>
      </c>
      <c r="J20" s="1">
        <v>0</v>
      </c>
      <c r="K20" s="1">
        <f>0.05/2</f>
        <v>2.5000000000000001E-2</v>
      </c>
      <c r="L20" s="21" t="s">
        <v>38</v>
      </c>
    </row>
    <row r="21" spans="3:12" x14ac:dyDescent="0.25">
      <c r="C21" s="1" t="s">
        <v>9</v>
      </c>
      <c r="D21" s="1">
        <v>9</v>
      </c>
      <c r="E21" s="1">
        <v>4.0000000000000001E-3</v>
      </c>
      <c r="F21" s="1">
        <f>0.05/1</f>
        <v>0.05</v>
      </c>
      <c r="G21" s="21" t="s">
        <v>38</v>
      </c>
      <c r="H21" s="1" t="s">
        <v>8</v>
      </c>
      <c r="I21" s="1">
        <v>9</v>
      </c>
      <c r="J21" s="1">
        <v>3.0000000000000001E-3</v>
      </c>
      <c r="K21" s="1">
        <f>0.05/1</f>
        <v>0.05</v>
      </c>
      <c r="L21" s="21" t="s">
        <v>38</v>
      </c>
    </row>
    <row r="22" spans="3:12" ht="16.5" thickBot="1" x14ac:dyDescent="0.3"/>
    <row r="23" spans="3:12" ht="24.95" customHeight="1" thickBot="1" x14ac:dyDescent="0.3">
      <c r="C23" s="23" t="s">
        <v>33</v>
      </c>
      <c r="D23" s="24"/>
      <c r="E23" s="24"/>
      <c r="F23" s="24"/>
      <c r="G23" s="24"/>
      <c r="H23" s="24" t="s">
        <v>30</v>
      </c>
      <c r="I23" s="24"/>
      <c r="J23" s="24"/>
      <c r="K23" s="24"/>
      <c r="L23" s="25"/>
    </row>
    <row r="24" spans="3:12" ht="63" x14ac:dyDescent="0.25">
      <c r="C24" s="2" t="s">
        <v>0</v>
      </c>
      <c r="D24" s="2" t="s">
        <v>1</v>
      </c>
      <c r="E24" s="2" t="s">
        <v>16</v>
      </c>
      <c r="F24" s="3" t="s">
        <v>37</v>
      </c>
      <c r="G24" s="2" t="s">
        <v>11</v>
      </c>
      <c r="H24" s="2" t="s">
        <v>0</v>
      </c>
      <c r="I24" s="2" t="s">
        <v>1</v>
      </c>
      <c r="J24" s="2" t="s">
        <v>16</v>
      </c>
      <c r="K24" s="3" t="s">
        <v>37</v>
      </c>
      <c r="L24" s="2" t="s">
        <v>11</v>
      </c>
    </row>
    <row r="25" spans="3:12" x14ac:dyDescent="0.25">
      <c r="C25" s="1" t="s">
        <v>5</v>
      </c>
      <c r="D25" s="1">
        <v>5</v>
      </c>
      <c r="E25" s="1">
        <v>0</v>
      </c>
      <c r="F25" s="1">
        <f>0.05/6</f>
        <v>8.3333333333333332E-3</v>
      </c>
      <c r="G25" s="21" t="s">
        <v>38</v>
      </c>
      <c r="H25" s="1" t="s">
        <v>5</v>
      </c>
      <c r="I25" s="1">
        <v>5</v>
      </c>
      <c r="J25" s="1">
        <v>0</v>
      </c>
      <c r="K25" s="1">
        <f>0.05/6</f>
        <v>8.3333333333333332E-3</v>
      </c>
      <c r="L25" s="21" t="s">
        <v>38</v>
      </c>
    </row>
    <row r="26" spans="3:12" x14ac:dyDescent="0.25">
      <c r="C26" s="1" t="s">
        <v>6</v>
      </c>
      <c r="D26" s="1">
        <v>5</v>
      </c>
      <c r="E26" s="1">
        <v>0</v>
      </c>
      <c r="F26" s="1">
        <f>0.05/5</f>
        <v>0.01</v>
      </c>
      <c r="G26" s="21" t="s">
        <v>38</v>
      </c>
      <c r="H26" s="1" t="s">
        <v>6</v>
      </c>
      <c r="I26" s="1">
        <v>5</v>
      </c>
      <c r="J26" s="1">
        <v>0</v>
      </c>
      <c r="K26" s="1">
        <f>0.05/5</f>
        <v>0.01</v>
      </c>
      <c r="L26" s="21" t="s">
        <v>38</v>
      </c>
    </row>
    <row r="27" spans="3:12" x14ac:dyDescent="0.25">
      <c r="C27" s="1" t="s">
        <v>7</v>
      </c>
      <c r="D27" s="1">
        <v>5</v>
      </c>
      <c r="E27" s="1">
        <v>0</v>
      </c>
      <c r="F27" s="1">
        <f>0.05/4</f>
        <v>1.2500000000000001E-2</v>
      </c>
      <c r="G27" s="21" t="s">
        <v>38</v>
      </c>
      <c r="H27" s="1" t="s">
        <v>7</v>
      </c>
      <c r="I27" s="1">
        <v>5</v>
      </c>
      <c r="J27" s="1">
        <v>0</v>
      </c>
      <c r="K27" s="1">
        <f>0.05/4</f>
        <v>1.2500000000000001E-2</v>
      </c>
      <c r="L27" s="21" t="s">
        <v>38</v>
      </c>
    </row>
    <row r="28" spans="3:12" x14ac:dyDescent="0.25">
      <c r="C28" s="1" t="s">
        <v>9</v>
      </c>
      <c r="D28" s="1">
        <v>5</v>
      </c>
      <c r="E28" s="1">
        <v>0</v>
      </c>
      <c r="F28" s="1">
        <f>0.05/3</f>
        <v>1.6666666666666666E-2</v>
      </c>
      <c r="G28" s="21" t="s">
        <v>38</v>
      </c>
      <c r="H28" s="1" t="s">
        <v>9</v>
      </c>
      <c r="I28" s="1">
        <v>5</v>
      </c>
      <c r="J28" s="1">
        <v>0</v>
      </c>
      <c r="K28" s="1">
        <f>0.05/3</f>
        <v>1.6666666666666666E-2</v>
      </c>
      <c r="L28" s="21" t="s">
        <v>38</v>
      </c>
    </row>
    <row r="29" spans="3:12" x14ac:dyDescent="0.25">
      <c r="C29" s="1" t="s">
        <v>10</v>
      </c>
      <c r="D29" s="1">
        <v>5</v>
      </c>
      <c r="E29" s="1">
        <v>0</v>
      </c>
      <c r="F29" s="1">
        <f>0.05/2</f>
        <v>2.5000000000000001E-2</v>
      </c>
      <c r="G29" s="21" t="s">
        <v>38</v>
      </c>
      <c r="H29" s="1" t="s">
        <v>10</v>
      </c>
      <c r="I29" s="1">
        <v>5</v>
      </c>
      <c r="J29" s="1">
        <v>0</v>
      </c>
      <c r="K29" s="1">
        <f>0.05/2</f>
        <v>2.5000000000000001E-2</v>
      </c>
      <c r="L29" s="21" t="s">
        <v>38</v>
      </c>
    </row>
    <row r="30" spans="3:12" x14ac:dyDescent="0.25">
      <c r="C30" s="1" t="s">
        <v>8</v>
      </c>
      <c r="D30" s="1">
        <v>5</v>
      </c>
      <c r="E30" s="1">
        <v>1.9E-2</v>
      </c>
      <c r="F30" s="1">
        <f>0.05/1</f>
        <v>0.05</v>
      </c>
      <c r="G30" s="21" t="s">
        <v>38</v>
      </c>
      <c r="H30" s="1" t="s">
        <v>8</v>
      </c>
      <c r="I30" s="1">
        <v>5</v>
      </c>
      <c r="J30" s="1">
        <v>1.4999999999999999E-2</v>
      </c>
      <c r="K30" s="1">
        <f>0.05/1</f>
        <v>0.05</v>
      </c>
      <c r="L30" s="21" t="s">
        <v>38</v>
      </c>
    </row>
    <row r="31" spans="3:12" x14ac:dyDescent="0.25">
      <c r="C31" s="1" t="s">
        <v>5</v>
      </c>
      <c r="D31" s="1">
        <v>7</v>
      </c>
      <c r="E31" s="1">
        <v>0</v>
      </c>
      <c r="F31" s="1">
        <f>0.05/6</f>
        <v>8.3333333333333332E-3</v>
      </c>
      <c r="G31" s="21" t="s">
        <v>38</v>
      </c>
      <c r="H31" s="1" t="s">
        <v>5</v>
      </c>
      <c r="I31" s="1">
        <v>7</v>
      </c>
      <c r="J31" s="1">
        <v>0</v>
      </c>
      <c r="K31" s="1">
        <f>0.05/6</f>
        <v>8.3333333333333332E-3</v>
      </c>
      <c r="L31" s="21" t="s">
        <v>38</v>
      </c>
    </row>
    <row r="32" spans="3:12" x14ac:dyDescent="0.25">
      <c r="C32" s="1" t="s">
        <v>6</v>
      </c>
      <c r="D32" s="1">
        <v>7</v>
      </c>
      <c r="E32" s="1">
        <v>0</v>
      </c>
      <c r="F32" s="1">
        <f>0.05/5</f>
        <v>0.01</v>
      </c>
      <c r="G32" s="21" t="s">
        <v>38</v>
      </c>
      <c r="H32" s="1" t="s">
        <v>6</v>
      </c>
      <c r="I32" s="1">
        <v>7</v>
      </c>
      <c r="J32" s="1">
        <v>0</v>
      </c>
      <c r="K32" s="1">
        <f>0.05/5</f>
        <v>0.01</v>
      </c>
      <c r="L32" s="21" t="s">
        <v>38</v>
      </c>
    </row>
    <row r="33" spans="3:12" x14ac:dyDescent="0.25">
      <c r="C33" s="1" t="s">
        <v>7</v>
      </c>
      <c r="D33" s="1">
        <v>7</v>
      </c>
      <c r="E33" s="1">
        <v>0</v>
      </c>
      <c r="F33" s="1">
        <f>0.05/4</f>
        <v>1.2500000000000001E-2</v>
      </c>
      <c r="G33" s="21" t="s">
        <v>38</v>
      </c>
      <c r="H33" s="1" t="s">
        <v>7</v>
      </c>
      <c r="I33" s="1">
        <v>7</v>
      </c>
      <c r="J33" s="1">
        <v>0</v>
      </c>
      <c r="K33" s="1">
        <f>0.05/4</f>
        <v>1.2500000000000001E-2</v>
      </c>
      <c r="L33" s="21" t="s">
        <v>38</v>
      </c>
    </row>
    <row r="34" spans="3:12" x14ac:dyDescent="0.25">
      <c r="C34" s="1" t="s">
        <v>9</v>
      </c>
      <c r="D34" s="1">
        <v>7</v>
      </c>
      <c r="E34" s="1">
        <v>0</v>
      </c>
      <c r="F34" s="1">
        <f>0.05/3</f>
        <v>1.6666666666666666E-2</v>
      </c>
      <c r="G34" s="21" t="s">
        <v>38</v>
      </c>
      <c r="H34" s="1" t="s">
        <v>9</v>
      </c>
      <c r="I34" s="1">
        <v>7</v>
      </c>
      <c r="J34" s="1">
        <v>0</v>
      </c>
      <c r="K34" s="1">
        <f>0.05/3</f>
        <v>1.6666666666666666E-2</v>
      </c>
      <c r="L34" s="21" t="s">
        <v>38</v>
      </c>
    </row>
    <row r="35" spans="3:12" x14ac:dyDescent="0.25">
      <c r="C35" s="1" t="s">
        <v>10</v>
      </c>
      <c r="D35" s="1">
        <v>7</v>
      </c>
      <c r="E35" s="1">
        <v>0</v>
      </c>
      <c r="F35" s="1">
        <f>0.05/2</f>
        <v>2.5000000000000001E-2</v>
      </c>
      <c r="G35" s="21" t="s">
        <v>38</v>
      </c>
      <c r="H35" s="1" t="s">
        <v>10</v>
      </c>
      <c r="I35" s="1">
        <v>7</v>
      </c>
      <c r="J35" s="1">
        <v>0</v>
      </c>
      <c r="K35" s="1">
        <f>0.05/2</f>
        <v>2.5000000000000001E-2</v>
      </c>
      <c r="L35" s="21" t="s">
        <v>38</v>
      </c>
    </row>
    <row r="36" spans="3:12" x14ac:dyDescent="0.25">
      <c r="C36" s="1" t="s">
        <v>8</v>
      </c>
      <c r="D36" s="1">
        <v>7</v>
      </c>
      <c r="E36" s="1">
        <v>0.83799999999999997</v>
      </c>
      <c r="F36" s="1">
        <f>0.05/1</f>
        <v>0.05</v>
      </c>
      <c r="G36" s="22" t="s">
        <v>39</v>
      </c>
      <c r="H36" s="1" t="s">
        <v>8</v>
      </c>
      <c r="I36" s="1">
        <v>7</v>
      </c>
      <c r="J36" s="1">
        <v>0.14599999999999999</v>
      </c>
      <c r="K36" s="1">
        <f>0.05/1</f>
        <v>0.05</v>
      </c>
      <c r="L36" s="22" t="s">
        <v>39</v>
      </c>
    </row>
    <row r="37" spans="3:12" x14ac:dyDescent="0.25">
      <c r="C37" s="1" t="s">
        <v>5</v>
      </c>
      <c r="D37" s="1">
        <v>9</v>
      </c>
      <c r="E37" s="1">
        <v>0</v>
      </c>
      <c r="F37" s="1">
        <f>0.05/6</f>
        <v>8.3333333333333332E-3</v>
      </c>
      <c r="G37" s="21" t="s">
        <v>38</v>
      </c>
      <c r="H37" s="1" t="s">
        <v>5</v>
      </c>
      <c r="I37" s="1">
        <v>9</v>
      </c>
      <c r="J37" s="1">
        <v>0</v>
      </c>
      <c r="K37" s="1">
        <f>0.05/6</f>
        <v>8.3333333333333332E-3</v>
      </c>
      <c r="L37" s="21" t="s">
        <v>38</v>
      </c>
    </row>
    <row r="38" spans="3:12" x14ac:dyDescent="0.25">
      <c r="C38" s="1" t="s">
        <v>6</v>
      </c>
      <c r="D38" s="1">
        <v>9</v>
      </c>
      <c r="E38" s="1">
        <v>0</v>
      </c>
      <c r="F38" s="1">
        <f>0.05/5</f>
        <v>0.01</v>
      </c>
      <c r="G38" s="21" t="s">
        <v>38</v>
      </c>
      <c r="H38" s="1" t="s">
        <v>6</v>
      </c>
      <c r="I38" s="1">
        <v>9</v>
      </c>
      <c r="J38" s="1">
        <v>0</v>
      </c>
      <c r="K38" s="1">
        <f>0.05/5</f>
        <v>0.01</v>
      </c>
      <c r="L38" s="21" t="s">
        <v>38</v>
      </c>
    </row>
    <row r="39" spans="3:12" x14ac:dyDescent="0.25">
      <c r="C39" s="1" t="s">
        <v>7</v>
      </c>
      <c r="D39" s="1">
        <v>9</v>
      </c>
      <c r="E39" s="1">
        <v>0</v>
      </c>
      <c r="F39" s="1">
        <f>0.05/4</f>
        <v>1.2500000000000001E-2</v>
      </c>
      <c r="G39" s="21" t="s">
        <v>38</v>
      </c>
      <c r="H39" s="1" t="s">
        <v>7</v>
      </c>
      <c r="I39" s="1">
        <v>9</v>
      </c>
      <c r="J39" s="1">
        <v>0</v>
      </c>
      <c r="K39" s="1">
        <f>0.05/4</f>
        <v>1.2500000000000001E-2</v>
      </c>
      <c r="L39" s="21" t="s">
        <v>38</v>
      </c>
    </row>
    <row r="40" spans="3:12" x14ac:dyDescent="0.25">
      <c r="C40" s="1" t="s">
        <v>9</v>
      </c>
      <c r="D40" s="1">
        <v>9</v>
      </c>
      <c r="E40" s="1">
        <v>0</v>
      </c>
      <c r="F40" s="1">
        <f>0.05/3</f>
        <v>1.6666666666666666E-2</v>
      </c>
      <c r="G40" s="21" t="s">
        <v>38</v>
      </c>
      <c r="H40" s="1" t="s">
        <v>9</v>
      </c>
      <c r="I40" s="1">
        <v>9</v>
      </c>
      <c r="J40" s="1">
        <v>0</v>
      </c>
      <c r="K40" s="1">
        <f>0.05/3</f>
        <v>1.6666666666666666E-2</v>
      </c>
      <c r="L40" s="21" t="s">
        <v>38</v>
      </c>
    </row>
    <row r="41" spans="3:12" x14ac:dyDescent="0.25">
      <c r="C41" s="1" t="s">
        <v>10</v>
      </c>
      <c r="D41" s="1">
        <v>9</v>
      </c>
      <c r="E41" s="1">
        <v>0</v>
      </c>
      <c r="F41" s="1">
        <f>0.05/2</f>
        <v>2.5000000000000001E-2</v>
      </c>
      <c r="G41" s="21" t="s">
        <v>38</v>
      </c>
      <c r="H41" s="1" t="s">
        <v>10</v>
      </c>
      <c r="I41" s="1">
        <v>9</v>
      </c>
      <c r="J41" s="1">
        <v>0</v>
      </c>
      <c r="K41" s="1">
        <f>0.05/2</f>
        <v>2.5000000000000001E-2</v>
      </c>
      <c r="L41" s="21" t="s">
        <v>38</v>
      </c>
    </row>
    <row r="42" spans="3:12" x14ac:dyDescent="0.25">
      <c r="C42" s="1" t="s">
        <v>8</v>
      </c>
      <c r="D42" s="1">
        <v>9</v>
      </c>
      <c r="E42" s="1">
        <v>0.85699999999999998</v>
      </c>
      <c r="F42" s="1">
        <f>0.05/1</f>
        <v>0.05</v>
      </c>
      <c r="G42" s="22" t="s">
        <v>39</v>
      </c>
      <c r="H42" s="1" t="s">
        <v>8</v>
      </c>
      <c r="I42" s="1">
        <v>9</v>
      </c>
      <c r="J42" s="1">
        <v>0.1</v>
      </c>
      <c r="K42" s="1">
        <f>0.05/1</f>
        <v>0.05</v>
      </c>
      <c r="L42" s="22" t="s">
        <v>39</v>
      </c>
    </row>
    <row r="43" spans="3:12" x14ac:dyDescent="0.25">
      <c r="C43" s="4" t="s">
        <v>32</v>
      </c>
    </row>
  </sheetData>
  <mergeCells count="4">
    <mergeCell ref="C2:G2"/>
    <mergeCell ref="H2:L2"/>
    <mergeCell ref="C23:G23"/>
    <mergeCell ref="H23:L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Avg. IGD</vt:lpstr>
      <vt:lpstr>Avg. MID</vt:lpstr>
      <vt:lpstr>Avg. SP</vt:lpstr>
      <vt:lpstr>Avg. SNS</vt:lpstr>
      <vt:lpstr>General</vt:lpstr>
      <vt:lpstr>Holm-Bonferroni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Türk</dc:creator>
  <cp:lastModifiedBy>Abdullah  Türk</cp:lastModifiedBy>
  <dcterms:created xsi:type="dcterms:W3CDTF">2015-06-05T18:19:34Z</dcterms:created>
  <dcterms:modified xsi:type="dcterms:W3CDTF">2026-07-13T19:35:09Z</dcterms:modified>
</cp:coreProperties>
</file>